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"/>
    </mc:Choice>
  </mc:AlternateContent>
  <xr:revisionPtr revIDLastSave="0" documentId="13_ncr:1_{1761FE80-9BA5-4F85-A297-8D178003A8A2}" xr6:coauthVersionLast="47" xr6:coauthVersionMax="47" xr10:uidLastSave="{00000000-0000-0000-0000-000000000000}"/>
  <bookViews>
    <workbookView xWindow="-120" yWindow="-120" windowWidth="29040" windowHeight="15720" xr2:uid="{9E2B6AF7-4A38-4DAB-A908-C453FB616B02}"/>
  </bookViews>
  <sheets>
    <sheet name="Compras" sheetId="4" r:id="rId1"/>
    <sheet name="Missing" sheetId="7" r:id="rId2"/>
    <sheet name="Prices" sheetId="2" r:id="rId3"/>
    <sheet name="Substitutas" sheetId="10" r:id="rId4"/>
    <sheet name="Decks" sheetId="11" r:id="rId5"/>
    <sheet name="Watch" sheetId="1" r:id="rId6"/>
    <sheet name="Tokens" sheetId="3" r:id="rId7"/>
    <sheet name="Lands" sheetId="8" r:id="rId8"/>
  </sheets>
  <externalReferences>
    <externalReference r:id="rId9"/>
  </externalReferences>
  <definedNames>
    <definedName name="_xlnm._FilterDatabase" localSheetId="0" hidden="1">Compras!$L$1:$P$100</definedName>
    <definedName name="_xlnm._FilterDatabase" localSheetId="7" hidden="1">Lands!$A$1:$F$79</definedName>
    <definedName name="_xlnm._FilterDatabase" localSheetId="6" hidden="1">Tokens!$B$1:$AS$1</definedName>
    <definedName name="DadosExternos_1" localSheetId="2" hidden="1">Prices!$A$1:$D$377</definedName>
    <definedName name="DadosExternos_2" localSheetId="1" hidden="1">Missing!$A$1:$B$438</definedName>
    <definedName name="DadosExternos_3" localSheetId="4" hidden="1">Decks!$A$1:$B$2801</definedName>
    <definedName name="DadosExternos_3" localSheetId="3" hidden="1">Substitutas!$A$1:$B$309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7" l="1"/>
  <c r="C283" i="7"/>
  <c r="C307" i="7"/>
  <c r="C45" i="7"/>
  <c r="C57" i="7"/>
  <c r="C133" i="7"/>
  <c r="C386" i="7"/>
  <c r="C379" i="7"/>
  <c r="C376" i="7"/>
  <c r="C145" i="7"/>
  <c r="C85" i="7"/>
  <c r="C351" i="7"/>
  <c r="C88" i="7"/>
  <c r="C213" i="7"/>
  <c r="C365" i="7"/>
  <c r="C364" i="7"/>
  <c r="C363" i="7"/>
  <c r="C362" i="7"/>
  <c r="C254" i="7"/>
  <c r="C135" i="7"/>
  <c r="C218" i="7"/>
  <c r="C273" i="7"/>
  <c r="C228" i="7"/>
  <c r="C348" i="7"/>
  <c r="C139" i="7"/>
  <c r="C102" i="7"/>
  <c r="C236" i="7"/>
  <c r="C123" i="7"/>
  <c r="C92" i="7"/>
  <c r="C270" i="7"/>
  <c r="C17" i="7"/>
  <c r="C316" i="7"/>
  <c r="C68" i="7"/>
  <c r="C299" i="7"/>
  <c r="C5" i="7"/>
  <c r="C109" i="7"/>
  <c r="C77" i="7"/>
  <c r="C429" i="7"/>
  <c r="C121" i="7"/>
  <c r="C206" i="7"/>
  <c r="C320" i="7"/>
  <c r="C274" i="7"/>
  <c r="C275" i="7"/>
  <c r="C276" i="7"/>
  <c r="C277" i="7"/>
  <c r="C278" i="7"/>
  <c r="C279" i="7"/>
  <c r="C280" i="7"/>
  <c r="C281" i="7"/>
  <c r="C282" i="7"/>
  <c r="C241" i="7"/>
  <c r="C242" i="7"/>
  <c r="C243" i="7"/>
  <c r="C244" i="7"/>
  <c r="C245" i="7"/>
  <c r="C246" i="7"/>
  <c r="C247" i="7"/>
  <c r="C248" i="7"/>
  <c r="C249" i="7"/>
  <c r="C285" i="7"/>
  <c r="C201" i="7"/>
  <c r="C164" i="7"/>
  <c r="C266" i="7"/>
  <c r="C168" i="7"/>
  <c r="C108" i="7"/>
  <c r="C159" i="7"/>
  <c r="C432" i="7"/>
  <c r="C290" i="7"/>
  <c r="C392" i="7"/>
  <c r="C50" i="7"/>
  <c r="C389" i="7"/>
  <c r="C259" i="7"/>
  <c r="C235" i="7"/>
  <c r="C195" i="7"/>
  <c r="C430" i="7"/>
  <c r="C187" i="7"/>
  <c r="C296" i="7"/>
  <c r="C44" i="7"/>
  <c r="C161" i="7"/>
  <c r="C297" i="7"/>
  <c r="C90" i="7"/>
  <c r="C433" i="7"/>
  <c r="C435" i="7"/>
  <c r="C263" i="7"/>
  <c r="C152" i="7"/>
  <c r="C163" i="7"/>
  <c r="C271" i="7"/>
  <c r="C162" i="7"/>
  <c r="C82" i="7"/>
  <c r="C185" i="7"/>
  <c r="C342" i="7"/>
  <c r="C360" i="7"/>
  <c r="C341" i="7"/>
  <c r="C222" i="7"/>
  <c r="C209" i="7"/>
  <c r="C434" i="7"/>
  <c r="C56" i="7"/>
  <c r="C315" i="7"/>
  <c r="C388" i="7"/>
  <c r="C105" i="7"/>
  <c r="C103" i="7"/>
  <c r="C99" i="7"/>
  <c r="C97" i="7"/>
  <c r="C15" i="7"/>
  <c r="C382" i="7"/>
  <c r="C49" i="7"/>
  <c r="C211" i="7"/>
  <c r="C74" i="7"/>
  <c r="C204" i="7"/>
  <c r="C289" i="7"/>
  <c r="C423" i="7"/>
  <c r="C134" i="7"/>
  <c r="C237" i="7"/>
  <c r="C346" i="7"/>
  <c r="C384" i="7"/>
  <c r="C87" i="7"/>
  <c r="C322" i="7"/>
  <c r="C33" i="7"/>
  <c r="C30" i="7"/>
  <c r="C192" i="7"/>
  <c r="C153" i="7"/>
  <c r="C367" i="7"/>
  <c r="C55" i="7"/>
  <c r="C157" i="7"/>
  <c r="C34" i="7"/>
  <c r="C207" i="7"/>
  <c r="C7" i="7"/>
  <c r="C436" i="7"/>
  <c r="C391" i="7"/>
  <c r="C424" i="7"/>
  <c r="C60" i="7"/>
  <c r="C258" i="7"/>
  <c r="C149" i="7"/>
  <c r="C325" i="7"/>
  <c r="C196" i="7"/>
  <c r="C437" i="7"/>
  <c r="C300" i="7"/>
  <c r="C294" i="7"/>
  <c r="C205" i="7"/>
  <c r="C350" i="7"/>
  <c r="C425" i="7"/>
  <c r="C269" i="7"/>
  <c r="C80" i="7"/>
  <c r="C8" i="7"/>
  <c r="C142" i="7"/>
  <c r="C143" i="7"/>
  <c r="C335" i="7"/>
  <c r="C366" i="7"/>
  <c r="C336" i="7"/>
  <c r="C136" i="7"/>
  <c r="C138" i="7"/>
  <c r="C323" i="7"/>
  <c r="C38" i="7"/>
  <c r="C69" i="7"/>
  <c r="C267" i="7"/>
  <c r="C167" i="7"/>
  <c r="C171" i="7"/>
  <c r="C331" i="7"/>
  <c r="C110" i="7"/>
  <c r="C202" i="7"/>
  <c r="C295" i="7"/>
  <c r="C219" i="7"/>
  <c r="C181" i="7"/>
  <c r="C100" i="7"/>
  <c r="C287" i="7"/>
  <c r="C154" i="7"/>
  <c r="C32" i="7"/>
  <c r="C330" i="7"/>
  <c r="C226" i="7"/>
  <c r="C343" i="7"/>
  <c r="C253" i="7"/>
  <c r="C268" i="7"/>
  <c r="C319" i="7"/>
  <c r="C73" i="7"/>
  <c r="C317" i="7"/>
  <c r="C64" i="7"/>
  <c r="C158" i="7"/>
  <c r="C329" i="7"/>
  <c r="C231" i="7"/>
  <c r="C118" i="7"/>
  <c r="C141" i="7"/>
  <c r="C286" i="7"/>
  <c r="C130" i="7"/>
  <c r="C23" i="7"/>
  <c r="C98" i="7"/>
  <c r="C291" i="7"/>
  <c r="C190" i="7"/>
  <c r="C234" i="7"/>
  <c r="C409" i="7"/>
  <c r="C229" i="7"/>
  <c r="C11" i="7"/>
  <c r="C400" i="7"/>
  <c r="C402" i="7"/>
  <c r="C312" i="7"/>
  <c r="C230" i="7"/>
  <c r="C12" i="7"/>
  <c r="C390" i="7"/>
  <c r="C250" i="7"/>
  <c r="C311" i="7"/>
  <c r="C401" i="7"/>
  <c r="C403" i="7"/>
  <c r="C404" i="7"/>
  <c r="C428" i="7"/>
  <c r="C406" i="7"/>
  <c r="C356" i="7"/>
  <c r="C399" i="7"/>
  <c r="C127" i="7"/>
  <c r="C95" i="7"/>
  <c r="C89" i="7"/>
  <c r="C4" i="7"/>
  <c r="C353" i="7"/>
  <c r="C75" i="7"/>
  <c r="C46" i="7"/>
  <c r="C418" i="7"/>
  <c r="C83" i="7"/>
  <c r="C255" i="7"/>
  <c r="C58" i="7"/>
  <c r="C355" i="7"/>
  <c r="C411" i="7"/>
  <c r="C303" i="7"/>
  <c r="C81" i="7"/>
  <c r="C354" i="7"/>
  <c r="C293" i="7"/>
  <c r="C116" i="7"/>
  <c r="C324" i="7"/>
  <c r="C252" i="7"/>
  <c r="C78" i="7"/>
  <c r="C261" i="7"/>
  <c r="C84" i="7"/>
  <c r="C53" i="7"/>
  <c r="C14" i="7"/>
  <c r="C112" i="7"/>
  <c r="C417" i="7"/>
  <c r="C208" i="7"/>
  <c r="C200" i="7"/>
  <c r="C264" i="7"/>
  <c r="C21" i="7"/>
  <c r="C373" i="7"/>
  <c r="C374" i="7"/>
  <c r="C120" i="7"/>
  <c r="C199" i="7"/>
  <c r="C25" i="7"/>
  <c r="C415" i="7"/>
  <c r="C223" i="7"/>
  <c r="C338" i="7"/>
  <c r="C10" i="7"/>
  <c r="C2" i="7"/>
  <c r="C385" i="7"/>
  <c r="C70" i="7"/>
  <c r="C215" i="7"/>
  <c r="C302" i="7"/>
  <c r="C438" i="7"/>
  <c r="C94" i="7"/>
  <c r="C251" i="7"/>
  <c r="C422" i="7"/>
  <c r="C114" i="7"/>
  <c r="C155" i="7"/>
  <c r="C334" i="7"/>
  <c r="C431" i="7"/>
  <c r="C144" i="7"/>
  <c r="C369" i="7"/>
  <c r="C414" i="7"/>
  <c r="C326" i="7"/>
  <c r="C368" i="7"/>
  <c r="C101" i="7"/>
  <c r="C22" i="7"/>
  <c r="C372" i="7"/>
  <c r="C79" i="7"/>
  <c r="C189" i="7"/>
  <c r="C65" i="7"/>
  <c r="C160" i="7"/>
  <c r="C272" i="7"/>
  <c r="C173" i="7"/>
  <c r="C340" i="7"/>
  <c r="C26" i="7"/>
  <c r="C328" i="7"/>
  <c r="C113" i="7"/>
  <c r="C394" i="7"/>
  <c r="C238" i="7"/>
  <c r="C193" i="7"/>
  <c r="C375" i="7"/>
  <c r="C182" i="7"/>
  <c r="C304" i="7"/>
  <c r="C359" i="7"/>
  <c r="C210" i="7"/>
  <c r="C314" i="7"/>
  <c r="C111" i="7"/>
  <c r="C43" i="7"/>
  <c r="C126" i="7"/>
  <c r="C349" i="7"/>
  <c r="C24" i="7"/>
  <c r="C165" i="7"/>
  <c r="C148" i="7"/>
  <c r="C427" i="7"/>
  <c r="C59" i="7"/>
  <c r="C321" i="7"/>
  <c r="C260" i="7"/>
  <c r="C122" i="7"/>
  <c r="C308" i="7"/>
  <c r="C408" i="7"/>
  <c r="C397" i="7"/>
  <c r="C72" i="7"/>
  <c r="C40" i="7"/>
  <c r="C66" i="7"/>
  <c r="C305" i="7"/>
  <c r="C183" i="7"/>
  <c r="C426" i="7"/>
  <c r="C131" i="7"/>
  <c r="C407" i="7"/>
  <c r="C28" i="7"/>
  <c r="C298" i="7"/>
  <c r="C347" i="7"/>
  <c r="C96" i="7"/>
  <c r="C198" i="7"/>
  <c r="C203" i="7"/>
  <c r="C128" i="7"/>
  <c r="C170" i="7"/>
  <c r="C86" i="7"/>
  <c r="C333" i="7"/>
  <c r="C337" i="7"/>
  <c r="C62" i="7"/>
  <c r="C104" i="7"/>
  <c r="C54" i="7"/>
  <c r="C191" i="7"/>
  <c r="C194" i="7"/>
  <c r="C197" i="7"/>
  <c r="C395" i="7"/>
  <c r="C419" i="7"/>
  <c r="C166" i="7"/>
  <c r="C6" i="7"/>
  <c r="C47" i="7"/>
  <c r="C9" i="7"/>
  <c r="C220" i="7"/>
  <c r="C39" i="7"/>
  <c r="C180" i="7"/>
  <c r="C339" i="7"/>
  <c r="C332" i="7"/>
  <c r="C13" i="7"/>
  <c r="C265" i="7"/>
  <c r="C352" i="7"/>
  <c r="C361" i="7"/>
  <c r="C239" i="7"/>
  <c r="C224" i="7"/>
  <c r="C345" i="7"/>
  <c r="C221" i="7"/>
  <c r="C93" i="7"/>
  <c r="C212" i="7"/>
  <c r="C124" i="7"/>
  <c r="C262" i="7"/>
  <c r="C257" i="7"/>
  <c r="C420" i="7"/>
  <c r="C309" i="7"/>
  <c r="C381" i="7"/>
  <c r="C16" i="7"/>
  <c r="C396" i="7"/>
  <c r="C217" i="7"/>
  <c r="C137" i="7"/>
  <c r="C184" i="7"/>
  <c r="C357" i="7"/>
  <c r="C3" i="7"/>
  <c r="C393" i="7"/>
  <c r="C48" i="7"/>
  <c r="C31" i="7"/>
  <c r="C383" i="7"/>
  <c r="C214" i="7"/>
  <c r="C132" i="7"/>
  <c r="C310" i="7"/>
  <c r="C42" i="7"/>
  <c r="C27" i="7"/>
  <c r="C19" i="7"/>
  <c r="C216" i="7"/>
  <c r="C169" i="7"/>
  <c r="C398" i="7"/>
  <c r="C91" i="7"/>
  <c r="C188" i="7"/>
  <c r="C71" i="7"/>
  <c r="C377" i="7"/>
  <c r="C156" i="7"/>
  <c r="C146" i="7"/>
  <c r="C61" i="7"/>
  <c r="C380" i="7"/>
  <c r="C284" i="7"/>
  <c r="C29" i="7"/>
  <c r="C344" i="7"/>
  <c r="C410" i="7"/>
  <c r="C107" i="7"/>
  <c r="C106" i="7"/>
  <c r="C421" i="7"/>
  <c r="C18" i="7"/>
  <c r="C416" i="7"/>
  <c r="C306" i="7"/>
  <c r="C129" i="7"/>
  <c r="C115" i="7"/>
  <c r="C20" i="7"/>
  <c r="C35" i="7"/>
  <c r="C292" i="7"/>
  <c r="C174" i="7"/>
  <c r="C175" i="7"/>
  <c r="C176" i="7"/>
  <c r="C177" i="7"/>
  <c r="C178" i="7"/>
  <c r="C327" i="7"/>
  <c r="C318" i="7"/>
  <c r="C240" i="7"/>
  <c r="C119" i="7"/>
  <c r="C313" i="7"/>
  <c r="C358" i="7"/>
  <c r="C140" i="7"/>
  <c r="C371" i="7"/>
  <c r="C370" i="7"/>
  <c r="C186" i="7"/>
  <c r="C225" i="7"/>
  <c r="C232" i="7"/>
  <c r="C52" i="7"/>
  <c r="C233" i="7"/>
  <c r="C150" i="7"/>
  <c r="C76" i="7"/>
  <c r="C387" i="7"/>
  <c r="C125" i="7"/>
  <c r="C412" i="7"/>
  <c r="C179" i="7"/>
  <c r="C117" i="7"/>
  <c r="C172" i="7"/>
  <c r="C41" i="7"/>
  <c r="C51" i="7"/>
  <c r="C227" i="7"/>
  <c r="C151" i="7"/>
  <c r="C37" i="7"/>
  <c r="C405" i="7"/>
  <c r="C36" i="7"/>
  <c r="C301" i="7"/>
  <c r="C413" i="7"/>
  <c r="C256" i="7"/>
  <c r="C378" i="7"/>
  <c r="C288" i="7"/>
  <c r="C147" i="7"/>
  <c r="C67" i="7"/>
  <c r="D63" i="7"/>
  <c r="D283" i="7"/>
  <c r="D307" i="7"/>
  <c r="D45" i="7"/>
  <c r="D57" i="7"/>
  <c r="D133" i="7"/>
  <c r="D386" i="7"/>
  <c r="D379" i="7"/>
  <c r="D376" i="7"/>
  <c r="D145" i="7"/>
  <c r="D85" i="7"/>
  <c r="D351" i="7"/>
  <c r="D88" i="7"/>
  <c r="D213" i="7"/>
  <c r="D365" i="7"/>
  <c r="D364" i="7"/>
  <c r="D363" i="7"/>
  <c r="D362" i="7"/>
  <c r="D254" i="7"/>
  <c r="D135" i="7"/>
  <c r="D218" i="7"/>
  <c r="D273" i="7"/>
  <c r="D228" i="7"/>
  <c r="D348" i="7"/>
  <c r="D139" i="7"/>
  <c r="D102" i="7"/>
  <c r="D236" i="7"/>
  <c r="D123" i="7"/>
  <c r="D92" i="7"/>
  <c r="D270" i="7"/>
  <c r="D17" i="7"/>
  <c r="D316" i="7"/>
  <c r="D68" i="7"/>
  <c r="D299" i="7"/>
  <c r="D5" i="7"/>
  <c r="D109" i="7"/>
  <c r="D77" i="7"/>
  <c r="D429" i="7"/>
  <c r="D121" i="7"/>
  <c r="D206" i="7"/>
  <c r="D320" i="7"/>
  <c r="D274" i="7"/>
  <c r="D275" i="7"/>
  <c r="D276" i="7"/>
  <c r="D277" i="7"/>
  <c r="D278" i="7"/>
  <c r="D279" i="7"/>
  <c r="D280" i="7"/>
  <c r="D281" i="7"/>
  <c r="D282" i="7"/>
  <c r="D241" i="7"/>
  <c r="D242" i="7"/>
  <c r="D243" i="7"/>
  <c r="D244" i="7"/>
  <c r="D245" i="7"/>
  <c r="D246" i="7"/>
  <c r="D247" i="7"/>
  <c r="D248" i="7"/>
  <c r="D249" i="7"/>
  <c r="D285" i="7"/>
  <c r="D201" i="7"/>
  <c r="D164" i="7"/>
  <c r="D266" i="7"/>
  <c r="D168" i="7"/>
  <c r="D108" i="7"/>
  <c r="D159" i="7"/>
  <c r="D432" i="7"/>
  <c r="D290" i="7"/>
  <c r="D392" i="7"/>
  <c r="D50" i="7"/>
  <c r="D389" i="7"/>
  <c r="D259" i="7"/>
  <c r="D235" i="7"/>
  <c r="D195" i="7"/>
  <c r="D430" i="7"/>
  <c r="D187" i="7"/>
  <c r="D296" i="7"/>
  <c r="D44" i="7"/>
  <c r="D161" i="7"/>
  <c r="D297" i="7"/>
  <c r="D90" i="7"/>
  <c r="D433" i="7"/>
  <c r="D435" i="7"/>
  <c r="D263" i="7"/>
  <c r="D152" i="7"/>
  <c r="D163" i="7"/>
  <c r="D271" i="7"/>
  <c r="D162" i="7"/>
  <c r="D82" i="7"/>
  <c r="D185" i="7"/>
  <c r="D342" i="7"/>
  <c r="D360" i="7"/>
  <c r="D341" i="7"/>
  <c r="D222" i="7"/>
  <c r="D209" i="7"/>
  <c r="D434" i="7"/>
  <c r="D56" i="7"/>
  <c r="D315" i="7"/>
  <c r="D388" i="7"/>
  <c r="D105" i="7"/>
  <c r="D103" i="7"/>
  <c r="D99" i="7"/>
  <c r="D97" i="7"/>
  <c r="D15" i="7"/>
  <c r="D382" i="7"/>
  <c r="D49" i="7"/>
  <c r="D211" i="7"/>
  <c r="D74" i="7"/>
  <c r="D204" i="7"/>
  <c r="D289" i="7"/>
  <c r="D423" i="7"/>
  <c r="D134" i="7"/>
  <c r="D237" i="7"/>
  <c r="D346" i="7"/>
  <c r="D384" i="7"/>
  <c r="D87" i="7"/>
  <c r="D322" i="7"/>
  <c r="D33" i="7"/>
  <c r="D30" i="7"/>
  <c r="D192" i="7"/>
  <c r="D153" i="7"/>
  <c r="D367" i="7"/>
  <c r="D55" i="7"/>
  <c r="D157" i="7"/>
  <c r="D34" i="7"/>
  <c r="D207" i="7"/>
  <c r="D7" i="7"/>
  <c r="D436" i="7"/>
  <c r="D391" i="7"/>
  <c r="D424" i="7"/>
  <c r="D60" i="7"/>
  <c r="D258" i="7"/>
  <c r="D149" i="7"/>
  <c r="D325" i="7"/>
  <c r="D196" i="7"/>
  <c r="D437" i="7"/>
  <c r="D300" i="7"/>
  <c r="D294" i="7"/>
  <c r="D205" i="7"/>
  <c r="D350" i="7"/>
  <c r="D425" i="7"/>
  <c r="D269" i="7"/>
  <c r="D80" i="7"/>
  <c r="D8" i="7"/>
  <c r="D142" i="7"/>
  <c r="D143" i="7"/>
  <c r="D335" i="7"/>
  <c r="D366" i="7"/>
  <c r="D336" i="7"/>
  <c r="D136" i="7"/>
  <c r="D138" i="7"/>
  <c r="D323" i="7"/>
  <c r="D38" i="7"/>
  <c r="D69" i="7"/>
  <c r="D267" i="7"/>
  <c r="D167" i="7"/>
  <c r="D171" i="7"/>
  <c r="D331" i="7"/>
  <c r="D110" i="7"/>
  <c r="D202" i="7"/>
  <c r="D295" i="7"/>
  <c r="D219" i="7"/>
  <c r="D181" i="7"/>
  <c r="D100" i="7"/>
  <c r="D287" i="7"/>
  <c r="D154" i="7"/>
  <c r="D32" i="7"/>
  <c r="D330" i="7"/>
  <c r="D226" i="7"/>
  <c r="D343" i="7"/>
  <c r="D253" i="7"/>
  <c r="D268" i="7"/>
  <c r="D319" i="7"/>
  <c r="D73" i="7"/>
  <c r="D317" i="7"/>
  <c r="D64" i="7"/>
  <c r="D158" i="7"/>
  <c r="D329" i="7"/>
  <c r="D231" i="7"/>
  <c r="D118" i="7"/>
  <c r="D141" i="7"/>
  <c r="D286" i="7"/>
  <c r="D130" i="7"/>
  <c r="D23" i="7"/>
  <c r="D98" i="7"/>
  <c r="D291" i="7"/>
  <c r="D190" i="7"/>
  <c r="D234" i="7"/>
  <c r="D409" i="7"/>
  <c r="D229" i="7"/>
  <c r="D11" i="7"/>
  <c r="D400" i="7"/>
  <c r="D402" i="7"/>
  <c r="D312" i="7"/>
  <c r="D230" i="7"/>
  <c r="D12" i="7"/>
  <c r="D390" i="7"/>
  <c r="D250" i="7"/>
  <c r="D311" i="7"/>
  <c r="D401" i="7"/>
  <c r="D403" i="7"/>
  <c r="D404" i="7"/>
  <c r="D428" i="7"/>
  <c r="D406" i="7"/>
  <c r="D356" i="7"/>
  <c r="D399" i="7"/>
  <c r="D127" i="7"/>
  <c r="D95" i="7"/>
  <c r="D89" i="7"/>
  <c r="D4" i="7"/>
  <c r="D353" i="7"/>
  <c r="D75" i="7"/>
  <c r="D46" i="7"/>
  <c r="D418" i="7"/>
  <c r="D83" i="7"/>
  <c r="D255" i="7"/>
  <c r="D58" i="7"/>
  <c r="D355" i="7"/>
  <c r="D411" i="7"/>
  <c r="D303" i="7"/>
  <c r="D81" i="7"/>
  <c r="D354" i="7"/>
  <c r="D293" i="7"/>
  <c r="D116" i="7"/>
  <c r="D324" i="7"/>
  <c r="D252" i="7"/>
  <c r="D78" i="7"/>
  <c r="D261" i="7"/>
  <c r="D84" i="7"/>
  <c r="D53" i="7"/>
  <c r="D14" i="7"/>
  <c r="D112" i="7"/>
  <c r="D417" i="7"/>
  <c r="D208" i="7"/>
  <c r="D200" i="7"/>
  <c r="D264" i="7"/>
  <c r="D21" i="7"/>
  <c r="D373" i="7"/>
  <c r="D374" i="7"/>
  <c r="D120" i="7"/>
  <c r="D199" i="7"/>
  <c r="D25" i="7"/>
  <c r="D415" i="7"/>
  <c r="D223" i="7"/>
  <c r="D338" i="7"/>
  <c r="D10" i="7"/>
  <c r="D2" i="7"/>
  <c r="D385" i="7"/>
  <c r="D70" i="7"/>
  <c r="D215" i="7"/>
  <c r="D302" i="7"/>
  <c r="D438" i="7"/>
  <c r="D94" i="7"/>
  <c r="D251" i="7"/>
  <c r="D422" i="7"/>
  <c r="D114" i="7"/>
  <c r="D155" i="7"/>
  <c r="D334" i="7"/>
  <c r="D431" i="7"/>
  <c r="D144" i="7"/>
  <c r="D369" i="7"/>
  <c r="D414" i="7"/>
  <c r="D326" i="7"/>
  <c r="D368" i="7"/>
  <c r="D101" i="7"/>
  <c r="D22" i="7"/>
  <c r="D372" i="7"/>
  <c r="D79" i="7"/>
  <c r="D189" i="7"/>
  <c r="D65" i="7"/>
  <c r="D160" i="7"/>
  <c r="D272" i="7"/>
  <c r="D173" i="7"/>
  <c r="D340" i="7"/>
  <c r="D26" i="7"/>
  <c r="D328" i="7"/>
  <c r="D113" i="7"/>
  <c r="D394" i="7"/>
  <c r="D238" i="7"/>
  <c r="D193" i="7"/>
  <c r="D375" i="7"/>
  <c r="D182" i="7"/>
  <c r="D304" i="7"/>
  <c r="D359" i="7"/>
  <c r="D210" i="7"/>
  <c r="D314" i="7"/>
  <c r="D111" i="7"/>
  <c r="D43" i="7"/>
  <c r="D126" i="7"/>
  <c r="D349" i="7"/>
  <c r="D24" i="7"/>
  <c r="D165" i="7"/>
  <c r="D148" i="7"/>
  <c r="D427" i="7"/>
  <c r="D59" i="7"/>
  <c r="D321" i="7"/>
  <c r="D260" i="7"/>
  <c r="D122" i="7"/>
  <c r="D308" i="7"/>
  <c r="D408" i="7"/>
  <c r="D397" i="7"/>
  <c r="D72" i="7"/>
  <c r="D40" i="7"/>
  <c r="D66" i="7"/>
  <c r="D305" i="7"/>
  <c r="D183" i="7"/>
  <c r="D426" i="7"/>
  <c r="D131" i="7"/>
  <c r="D407" i="7"/>
  <c r="D28" i="7"/>
  <c r="D298" i="7"/>
  <c r="D347" i="7"/>
  <c r="D96" i="7"/>
  <c r="D198" i="7"/>
  <c r="D203" i="7"/>
  <c r="D128" i="7"/>
  <c r="D170" i="7"/>
  <c r="D86" i="7"/>
  <c r="D333" i="7"/>
  <c r="D337" i="7"/>
  <c r="D62" i="7"/>
  <c r="D104" i="7"/>
  <c r="D54" i="7"/>
  <c r="D191" i="7"/>
  <c r="D194" i="7"/>
  <c r="D197" i="7"/>
  <c r="D395" i="7"/>
  <c r="D419" i="7"/>
  <c r="D166" i="7"/>
  <c r="D6" i="7"/>
  <c r="D47" i="7"/>
  <c r="D9" i="7"/>
  <c r="D220" i="7"/>
  <c r="D39" i="7"/>
  <c r="D180" i="7"/>
  <c r="D339" i="7"/>
  <c r="D332" i="7"/>
  <c r="D13" i="7"/>
  <c r="D265" i="7"/>
  <c r="D352" i="7"/>
  <c r="D361" i="7"/>
  <c r="D239" i="7"/>
  <c r="D224" i="7"/>
  <c r="D345" i="7"/>
  <c r="D221" i="7"/>
  <c r="D93" i="7"/>
  <c r="D212" i="7"/>
  <c r="D124" i="7"/>
  <c r="D262" i="7"/>
  <c r="D257" i="7"/>
  <c r="D420" i="7"/>
  <c r="D309" i="7"/>
  <c r="D381" i="7"/>
  <c r="D16" i="7"/>
  <c r="D396" i="7"/>
  <c r="D217" i="7"/>
  <c r="D137" i="7"/>
  <c r="D184" i="7"/>
  <c r="D357" i="7"/>
  <c r="D3" i="7"/>
  <c r="D393" i="7"/>
  <c r="D48" i="7"/>
  <c r="D31" i="7"/>
  <c r="D383" i="7"/>
  <c r="D214" i="7"/>
  <c r="D132" i="7"/>
  <c r="D310" i="7"/>
  <c r="D42" i="7"/>
  <c r="D27" i="7"/>
  <c r="D19" i="7"/>
  <c r="D216" i="7"/>
  <c r="D169" i="7"/>
  <c r="D398" i="7"/>
  <c r="D91" i="7"/>
  <c r="D188" i="7"/>
  <c r="D71" i="7"/>
  <c r="D377" i="7"/>
  <c r="D156" i="7"/>
  <c r="D146" i="7"/>
  <c r="D61" i="7"/>
  <c r="D380" i="7"/>
  <c r="D284" i="7"/>
  <c r="D29" i="7"/>
  <c r="D344" i="7"/>
  <c r="D410" i="7"/>
  <c r="D107" i="7"/>
  <c r="D106" i="7"/>
  <c r="D421" i="7"/>
  <c r="D18" i="7"/>
  <c r="D416" i="7"/>
  <c r="D306" i="7"/>
  <c r="D129" i="7"/>
  <c r="D115" i="7"/>
  <c r="D20" i="7"/>
  <c r="D35" i="7"/>
  <c r="D292" i="7"/>
  <c r="D174" i="7"/>
  <c r="D175" i="7"/>
  <c r="D176" i="7"/>
  <c r="D177" i="7"/>
  <c r="D178" i="7"/>
  <c r="D327" i="7"/>
  <c r="D318" i="7"/>
  <c r="D240" i="7"/>
  <c r="D119" i="7"/>
  <c r="D313" i="7"/>
  <c r="D358" i="7"/>
  <c r="D140" i="7"/>
  <c r="D371" i="7"/>
  <c r="D370" i="7"/>
  <c r="D186" i="7"/>
  <c r="D225" i="7"/>
  <c r="D232" i="7"/>
  <c r="D52" i="7"/>
  <c r="D233" i="7"/>
  <c r="D150" i="7"/>
  <c r="D76" i="7"/>
  <c r="D387" i="7"/>
  <c r="D125" i="7"/>
  <c r="D412" i="7"/>
  <c r="D179" i="7"/>
  <c r="D117" i="7"/>
  <c r="D172" i="7"/>
  <c r="D41" i="7"/>
  <c r="D51" i="7"/>
  <c r="D227" i="7"/>
  <c r="D151" i="7"/>
  <c r="D37" i="7"/>
  <c r="D405" i="7"/>
  <c r="D36" i="7"/>
  <c r="D301" i="7"/>
  <c r="D413" i="7"/>
  <c r="D256" i="7"/>
  <c r="D378" i="7"/>
  <c r="D288" i="7"/>
  <c r="D147" i="7"/>
  <c r="D67" i="7"/>
  <c r="K144" i="3"/>
  <c r="G11" i="7"/>
  <c r="P11" i="7" s="1"/>
  <c r="G12" i="7"/>
  <c r="P12" i="7" s="1"/>
  <c r="G13" i="7"/>
  <c r="P13" i="7" s="1"/>
  <c r="G14" i="7"/>
  <c r="P14" i="7" s="1"/>
  <c r="G15" i="7"/>
  <c r="P15" i="7" s="1"/>
  <c r="G16" i="7"/>
  <c r="P16" i="7" s="1"/>
  <c r="G17" i="7"/>
  <c r="P17" i="7" s="1"/>
  <c r="G18" i="7"/>
  <c r="P18" i="7" s="1"/>
  <c r="G19" i="7"/>
  <c r="P19" i="7" s="1"/>
  <c r="G20" i="7"/>
  <c r="P20" i="7" s="1"/>
  <c r="G21" i="7"/>
  <c r="P21" i="7" s="1"/>
  <c r="G22" i="7"/>
  <c r="P22" i="7" s="1"/>
  <c r="G23" i="7"/>
  <c r="P23" i="7" s="1"/>
  <c r="G24" i="7"/>
  <c r="P24" i="7" s="1"/>
  <c r="G25" i="7"/>
  <c r="P25" i="7" s="1"/>
  <c r="G26" i="7"/>
  <c r="P26" i="7" s="1"/>
  <c r="G27" i="7"/>
  <c r="P27" i="7" s="1"/>
  <c r="G28" i="7"/>
  <c r="P28" i="7"/>
  <c r="G29" i="7"/>
  <c r="P29" i="7" s="1"/>
  <c r="G30" i="7"/>
  <c r="P30" i="7" s="1"/>
  <c r="G31" i="7"/>
  <c r="P31" i="7" s="1"/>
  <c r="G32" i="7"/>
  <c r="P32" i="7" s="1"/>
  <c r="G33" i="7"/>
  <c r="P33" i="7" s="1"/>
  <c r="G34" i="7"/>
  <c r="P34" i="7" s="1"/>
  <c r="G35" i="7"/>
  <c r="P35" i="7" s="1"/>
  <c r="G36" i="7"/>
  <c r="P36" i="7" s="1"/>
  <c r="G37" i="7"/>
  <c r="P37" i="7" s="1"/>
  <c r="G38" i="7"/>
  <c r="P38" i="7" s="1"/>
  <c r="G39" i="7"/>
  <c r="P39" i="7" s="1"/>
  <c r="G40" i="7"/>
  <c r="P40" i="7" s="1"/>
  <c r="G41" i="7"/>
  <c r="P41" i="7" s="1"/>
  <c r="G42" i="7"/>
  <c r="P42" i="7" s="1"/>
  <c r="G43" i="7"/>
  <c r="P43" i="7" s="1"/>
  <c r="G44" i="7"/>
  <c r="P44" i="7" s="1"/>
  <c r="G45" i="7"/>
  <c r="P45" i="7" s="1"/>
  <c r="G46" i="7"/>
  <c r="P46" i="7" s="1"/>
  <c r="G47" i="7"/>
  <c r="P47" i="7" s="1"/>
  <c r="G48" i="7"/>
  <c r="P48" i="7" s="1"/>
  <c r="G49" i="7"/>
  <c r="P49" i="7" s="1"/>
  <c r="G50" i="7"/>
  <c r="P50" i="7" s="1"/>
  <c r="G6" i="7"/>
  <c r="P6" i="7" s="1"/>
  <c r="G7" i="7"/>
  <c r="P7" i="7" s="1"/>
  <c r="G8" i="7"/>
  <c r="P8" i="7" s="1"/>
  <c r="G9" i="7"/>
  <c r="P9" i="7" s="1"/>
  <c r="G10" i="7"/>
  <c r="P10" i="7" s="1"/>
  <c r="G3" i="7"/>
  <c r="P3" i="7" s="1"/>
  <c r="G4" i="7"/>
  <c r="P4" i="7" s="1"/>
  <c r="G5" i="7"/>
  <c r="P5" i="7" s="1"/>
  <c r="L2" i="7"/>
  <c r="K2" i="7"/>
  <c r="J2" i="7"/>
  <c r="I2" i="7"/>
  <c r="H2" i="7"/>
  <c r="M1" i="7"/>
  <c r="G2" i="7" l="1"/>
  <c r="A3" i="4" l="1"/>
  <c r="J1" i="4"/>
  <c r="C6" i="4" s="1"/>
  <c r="I1" i="4"/>
  <c r="C5" i="4" s="1"/>
  <c r="H1" i="4"/>
  <c r="C4" i="4" s="1"/>
  <c r="G1" i="4"/>
  <c r="C3" i="4" s="1"/>
  <c r="F1" i="4"/>
  <c r="K105" i="3"/>
  <c r="K23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6" i="3"/>
  <c r="K117" i="3"/>
  <c r="K114" i="3"/>
  <c r="K115" i="3"/>
  <c r="K113" i="3"/>
  <c r="K112" i="3"/>
  <c r="K109" i="3"/>
  <c r="K110" i="3"/>
  <c r="K111" i="3"/>
  <c r="K108" i="3"/>
  <c r="K107" i="3"/>
  <c r="K106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3" i="3"/>
  <c r="K54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C2" i="4" l="1"/>
  <c r="B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5ED79D-FBB1-4F81-B61A-94EC5C555C3A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14E4EFF4-0323-4A0E-BE1A-46711EE4D111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D0D40B72-66EA-41AB-816E-62A40C9678CD}" keepAlive="1" name="Consulta - Decks" description="Conexão com a consulta 'Decks' na pasta de trabalho." type="5" refreshedVersion="8" background="1" saveData="1">
    <dbPr connection="Provider=Microsoft.Mashup.OleDb.1;Data Source=$Workbook$;Location=Decks;Extended Properties=&quot;&quot;" command="SELECT * FROM [Decks]"/>
  </connection>
  <connection id="4" xr16:uid="{45B0B0BB-9091-444E-BC67-5033AA6DC9AF}" keepAlive="1" name="Consulta - Missing" description="Conexão com a consulta 'Missing' na pasta de trabalho." type="5" refreshedVersion="8" background="1" saveData="1">
    <dbPr connection="Provider=Microsoft.Mashup.OleDb.1;Data Source=$Workbook$;Location=Missing;Extended Properties=&quot;&quot;" command="SELECT * FROM [Missing]"/>
  </connection>
  <connection id="5" xr16:uid="{FF0D92DA-E534-4F50-A44F-BB49B9928424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6" xr16:uid="{0329DC45-AD4B-4B53-B662-EB9EF7573B24}" keepAlive="1" name="Consulta - Prices" description="Conexão com a consulta 'Prices' na pasta de trabalho." type="5" refreshedVersion="8" background="1" saveData="1">
    <dbPr connection="Provider=Microsoft.Mashup.OleDb.1;Data Source=$Workbook$;Location=Prices;Extended Properties=&quot;&quot;" command="SELECT * FROM [Prices]"/>
  </connection>
  <connection id="7" xr16:uid="{00634267-1C74-4B00-9A66-4589B3A31F49}" keepAlive="1" name="Consulta - Substitutas" description="Conexão com a consulta 'Substitutas' na pasta de trabalho." type="5" refreshedVersion="8" background="1" saveData="1">
    <dbPr connection="Provider=Microsoft.Mashup.OleDb.1;Data Source=$Workbook$;Location=Substitutas;Extended Properties=&quot;&quot;" command="SELECT * FROM [Substitutas]"/>
  </connection>
  <connection id="8" xr16:uid="{63B78B2E-8213-4372-9BBC-6DFBB6ED3E09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9" xr16:uid="{A2513FE0-CAA0-4C05-A13D-25C0A11BF4E1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10" xr16:uid="{9AD54EFE-0955-404A-A267-4F0F739DF7E1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<sst xmlns="http://schemas.openxmlformats.org/spreadsheetml/2006/main" count="10494" uniqueCount="2851">
  <si>
    <t>Nome da Origem</t>
  </si>
  <si>
    <t>Carta Ideal</t>
  </si>
  <si>
    <t>API.prices.usd</t>
  </si>
  <si>
    <t>Reliquary Tower</t>
  </si>
  <si>
    <t>Bojuka Bog</t>
  </si>
  <si>
    <t>Archdruid's Charm</t>
  </si>
  <si>
    <t>Rampant Growth</t>
  </si>
  <si>
    <t>Atarka's Command</t>
  </si>
  <si>
    <t>Planar Genesis</t>
  </si>
  <si>
    <t>Respite</t>
  </si>
  <si>
    <t>Bedevil</t>
  </si>
  <si>
    <t>Terminate</t>
  </si>
  <si>
    <t>Assassin's Trophy</t>
  </si>
  <si>
    <t>Abrupt Decay</t>
  </si>
  <si>
    <t>Rakdos Charm</t>
  </si>
  <si>
    <t>Beast Within</t>
  </si>
  <si>
    <t>Blasphemous Act</t>
  </si>
  <si>
    <t>Evacuation</t>
  </si>
  <si>
    <t>Comet Storm</t>
  </si>
  <si>
    <t>Guttersnipe</t>
  </si>
  <si>
    <t>Coruscation Mage</t>
  </si>
  <si>
    <t>The Lord of Pain</t>
  </si>
  <si>
    <t>Niv-Mizzet, Parun</t>
  </si>
  <si>
    <t>Exalted Flamer of Tzeentch</t>
  </si>
  <si>
    <t>Cid, Freeflier Pilot</t>
  </si>
  <si>
    <t>Stoneforge Mystic</t>
  </si>
  <si>
    <t>Cloud, Midgar Mercenary</t>
  </si>
  <si>
    <t>Kellan, the Fae-Blooded // Birthright Boon</t>
  </si>
  <si>
    <t>Sword of Truth and Justice</t>
  </si>
  <si>
    <t>Sword of Light and Shadow</t>
  </si>
  <si>
    <t>Sword of Fire and Ice</t>
  </si>
  <si>
    <t>Lavaspur Boots</t>
  </si>
  <si>
    <t>Lost Jitte</t>
  </si>
  <si>
    <t>Adagia, Windswept Bastion</t>
  </si>
  <si>
    <t>Damping Sphere</t>
  </si>
  <si>
    <t>Kambal, Profiteering Mayor</t>
  </si>
  <si>
    <t>Bitterblossom</t>
  </si>
  <si>
    <t>Alchemist's Refuge</t>
  </si>
  <si>
    <t>The Shire</t>
  </si>
  <si>
    <t>Karplusan Forest</t>
  </si>
  <si>
    <t>Brushland</t>
  </si>
  <si>
    <t>Jetmir, Nexus of Revels</t>
  </si>
  <si>
    <t>Purphoros, God of the Forge</t>
  </si>
  <si>
    <t>Warleader's Call</t>
  </si>
  <si>
    <t>Prosperous Partnership</t>
  </si>
  <si>
    <t>Springleaf Parade</t>
  </si>
  <si>
    <t>Exalted Sunborn</t>
  </si>
  <si>
    <t>Boros Charm</t>
  </si>
  <si>
    <t>Clever Concealment</t>
  </si>
  <si>
    <t>Lightning Greaves</t>
  </si>
  <si>
    <t>Seedborn Muse</t>
  </si>
  <si>
    <t>Path to Exile</t>
  </si>
  <si>
    <t>Aura Mutation</t>
  </si>
  <si>
    <t>Artifact Mutation</t>
  </si>
  <si>
    <t>Reflecting Pool</t>
  </si>
  <si>
    <t>Illustrious Wanderglyph</t>
  </si>
  <si>
    <t>Vault of the Archangel</t>
  </si>
  <si>
    <t>Takenuma, Abandoned Mire</t>
  </si>
  <si>
    <t>Unholy Annex // Ritual Chamber</t>
  </si>
  <si>
    <t>Giver of Runes</t>
  </si>
  <si>
    <t>Authority of the Consuls</t>
  </si>
  <si>
    <t>Zagoth Triome</t>
  </si>
  <si>
    <t>Three Tree City</t>
  </si>
  <si>
    <t>Watery Grave</t>
  </si>
  <si>
    <t>Nissa, Resurgent Animist</t>
  </si>
  <si>
    <t>Indatha Triome</t>
  </si>
  <si>
    <t>Raugrin Triome</t>
  </si>
  <si>
    <t>Raffine's Tower</t>
  </si>
  <si>
    <t>Jetmir's Garden</t>
  </si>
  <si>
    <t>Steam Vents</t>
  </si>
  <si>
    <t>Hallowed Fountain</t>
  </si>
  <si>
    <t>Overgrown Tomb</t>
  </si>
  <si>
    <t>Cavern of Souls</t>
  </si>
  <si>
    <t>Abundant Countryside</t>
  </si>
  <si>
    <t>Sliver Gravemother</t>
  </si>
  <si>
    <t>Mnemonic Sliver</t>
  </si>
  <si>
    <t>Synapse Sliver</t>
  </si>
  <si>
    <t>Ulamog, the Infinite Gyre</t>
  </si>
  <si>
    <t>Titania, Voice of Gaea</t>
  </si>
  <si>
    <t>Glasspool Mimic</t>
  </si>
  <si>
    <t>Molten Echoes</t>
  </si>
  <si>
    <t>Valfenda</t>
  </si>
  <si>
    <t>Mistrise Village</t>
  </si>
  <si>
    <t>Agna Qel'a</t>
  </si>
  <si>
    <t>Emrakul, the World Anew</t>
  </si>
  <si>
    <t>Ulamog, the Defiler</t>
  </si>
  <si>
    <t>Rivendell</t>
  </si>
  <si>
    <t>Thran Dynamo</t>
  </si>
  <si>
    <t>Mox Tantalite</t>
  </si>
  <si>
    <t>Rise of the Eldrazi</t>
  </si>
  <si>
    <t>Kozilek, the Broken Reality</t>
  </si>
  <si>
    <t>Ulamog's Dreadsire</t>
  </si>
  <si>
    <t>The Tenth Doctor</t>
  </si>
  <si>
    <t>Stump Stomp</t>
  </si>
  <si>
    <t>Bugenhagen, Wise Elder</t>
  </si>
  <si>
    <t>Vona's Hunger</t>
  </si>
  <si>
    <t>Chandra's Ignition</t>
  </si>
  <si>
    <t>Nibelheim Aflame</t>
  </si>
  <si>
    <t>Soul Immolation</t>
  </si>
  <si>
    <t>Phyrexian Arena</t>
  </si>
  <si>
    <t>Harvest Season</t>
  </si>
  <si>
    <t>Sundering Eruption</t>
  </si>
  <si>
    <t>Caves of Koilos</t>
  </si>
  <si>
    <t>Radiant Summit</t>
  </si>
  <si>
    <t>Sunpetal Grove</t>
  </si>
  <si>
    <t>Woodland Cemetery</t>
  </si>
  <si>
    <t>Dragonskull Summit</t>
  </si>
  <si>
    <t>Water Tribe Rallier</t>
  </si>
  <si>
    <t>Mardu Ascendancy</t>
  </si>
  <si>
    <t>Dollmaker's Shop // Porcelain Gallery</t>
  </si>
  <si>
    <t>Ainok Strike Leader</t>
  </si>
  <si>
    <t>Anim Pakal, Thousandth Moon</t>
  </si>
  <si>
    <t>Bitterbloom Bearer</t>
  </si>
  <si>
    <t>Elspeth, Sun's Champion</t>
  </si>
  <si>
    <t>Teysa, Orzhov Scion</t>
  </si>
  <si>
    <t>The Battle of Bywater</t>
  </si>
  <si>
    <t>Dusk // Dawn</t>
  </si>
  <si>
    <t>Raven Eagle</t>
  </si>
  <si>
    <t>Great Furnace</t>
  </si>
  <si>
    <t>Tree of Tales</t>
  </si>
  <si>
    <t>Abandoned Air Temple</t>
  </si>
  <si>
    <t>Fabled Passage</t>
  </si>
  <si>
    <t>Sol Ring</t>
  </si>
  <si>
    <t>Liquimetal Torque</t>
  </si>
  <si>
    <t>The Great Henge</t>
  </si>
  <si>
    <t>Giggling Skitterspike</t>
  </si>
  <si>
    <t>Filigree Vector</t>
  </si>
  <si>
    <t>Inventors' Fair</t>
  </si>
  <si>
    <t>Sonic Screwdriver</t>
  </si>
  <si>
    <t>Vexing Puzzlebox</t>
  </si>
  <si>
    <t>Katara's Reversal</t>
  </si>
  <si>
    <t>The Enigma Jewel</t>
  </si>
  <si>
    <t>Rings of Brighthearth</t>
  </si>
  <si>
    <t>Sokenzan, Crucible of Defiance</t>
  </si>
  <si>
    <t>Adarkar Wastes</t>
  </si>
  <si>
    <t>Jidoor, Aristocratic Capital // Overture</t>
  </si>
  <si>
    <t>The Water Crystal</t>
  </si>
  <si>
    <t>Brass's Tunnel-Grinder</t>
  </si>
  <si>
    <t>Khorvath's Fury</t>
  </si>
  <si>
    <t>Reforge the Soul</t>
  </si>
  <si>
    <t>Psychic Corrosion</t>
  </si>
  <si>
    <t>Zellix, Sanity Flayer</t>
  </si>
  <si>
    <t>Ghostly Prison</t>
  </si>
  <si>
    <t>Slash the Ranks</t>
  </si>
  <si>
    <t>World at War</t>
  </si>
  <si>
    <t>Persistent Constrictor</t>
  </si>
  <si>
    <t>Ammit Eternal</t>
  </si>
  <si>
    <t>Glen Elendra's Answer</t>
  </si>
  <si>
    <t>Invasion of Segovia</t>
  </si>
  <si>
    <t>Susur Secundi, Void Altar</t>
  </si>
  <si>
    <t>The Soul Stone</t>
  </si>
  <si>
    <t>The Cabbage Merchant</t>
  </si>
  <si>
    <t>Treasure Vault</t>
  </si>
  <si>
    <t>Mines of Moria</t>
  </si>
  <si>
    <t>Broadside Bombardiers</t>
  </si>
  <si>
    <t>Glint-Horn Buccaneer</t>
  </si>
  <si>
    <t>Access Tunnel</t>
  </si>
  <si>
    <t>Gallifrey Council Chamber</t>
  </si>
  <si>
    <t>Sink into Stupor</t>
  </si>
  <si>
    <t>Careful Study</t>
  </si>
  <si>
    <t>Strix Serenade</t>
  </si>
  <si>
    <t>Swan Song</t>
  </si>
  <si>
    <t>Baral, Chief of Compliance</t>
  </si>
  <si>
    <t>Lolth, Spider Queen</t>
  </si>
  <si>
    <t>Commodore Guff</t>
  </si>
  <si>
    <t>Kaya the Inexorable</t>
  </si>
  <si>
    <t>Freyalise, Llanowar's Fury</t>
  </si>
  <si>
    <t>Oko, Thief of Crowns</t>
  </si>
  <si>
    <t>Nicol Bolas, God-Pharaoh</t>
  </si>
  <si>
    <t>Vronos, Masked Inquisitor</t>
  </si>
  <si>
    <t>Ripples of Potential</t>
  </si>
  <si>
    <t>The Peregrine Dynamo</t>
  </si>
  <si>
    <t>Arwen, Weaver of Hope</t>
  </si>
  <si>
    <t>Court of Garenbrig</t>
  </si>
  <si>
    <t>Kinnan, Bonder Prodigy</t>
  </si>
  <si>
    <t>Polluted Delta</t>
  </si>
  <si>
    <t>Arid Mesa</t>
  </si>
  <si>
    <t>Luxury Suite</t>
  </si>
  <si>
    <t>Spectator Seating</t>
  </si>
  <si>
    <t>Vault of Champions</t>
  </si>
  <si>
    <t>Amphibian Downpour</t>
  </si>
  <si>
    <t>Avatar's Wrath</t>
  </si>
  <si>
    <t>Mystic Sanctuary</t>
  </si>
  <si>
    <t>Prismatic Lens</t>
  </si>
  <si>
    <t>Ephara, God of the Polis</t>
  </si>
  <si>
    <t>Dour Port-Mage</t>
  </si>
  <si>
    <t>Dovin's Veto</t>
  </si>
  <si>
    <t>An Offer You Can't Refuse</t>
  </si>
  <si>
    <t>Ephemerate</t>
  </si>
  <si>
    <t>Starfield Vocalist</t>
  </si>
  <si>
    <t>Vedalken Mastermind</t>
  </si>
  <si>
    <t>Hare Apparent</t>
  </si>
  <si>
    <t>Shizo, Death's Storehouse</t>
  </si>
  <si>
    <t>Sea Gate Restoration</t>
  </si>
  <si>
    <t>Morphic Pool</t>
  </si>
  <si>
    <t>Drowned Catacomb</t>
  </si>
  <si>
    <t>Satoru, the Infiltrator</t>
  </si>
  <si>
    <t>Keen Duelist</t>
  </si>
  <si>
    <t>Faerie Slumber Party</t>
  </si>
  <si>
    <t>Temporal Trespass</t>
  </si>
  <si>
    <t>Temporal Manipulation</t>
  </si>
  <si>
    <t>Homeward Path</t>
  </si>
  <si>
    <t>Misty Rainforest</t>
  </si>
  <si>
    <t>Forsaken Miner</t>
  </si>
  <si>
    <t>Ancient Greenwarden</t>
  </si>
  <si>
    <t>Burgeoning</t>
  </si>
  <si>
    <t>Thousand-Year Elixir</t>
  </si>
  <si>
    <t>Emergence Zone</t>
  </si>
  <si>
    <t>Havengul Laboratory</t>
  </si>
  <si>
    <t>Billiard Room</t>
  </si>
  <si>
    <t>Ultimate Magic: Holy</t>
  </si>
  <si>
    <t>Vedalken Orrery</t>
  </si>
  <si>
    <t>Party Thrasher</t>
  </si>
  <si>
    <t>The Legend of Roku</t>
  </si>
  <si>
    <t>Prosper, Tome-Bound</t>
  </si>
  <si>
    <t>Bonehoard Dracosaur</t>
  </si>
  <si>
    <t>Faixa</t>
  </si>
  <si>
    <t>Comprável</t>
  </si>
  <si>
    <t>Baratera</t>
  </si>
  <si>
    <t>Aceitável</t>
  </si>
  <si>
    <t>Cara</t>
  </si>
  <si>
    <t>Facada</t>
  </si>
  <si>
    <t>Não Encontrada</t>
  </si>
  <si>
    <t>Carta</t>
  </si>
  <si>
    <t>Identidade</t>
  </si>
  <si>
    <t>Tipo</t>
  </si>
  <si>
    <t>Categoria</t>
  </si>
  <si>
    <t>Classe</t>
  </si>
  <si>
    <t>Weathered Runestone</t>
  </si>
  <si>
    <t>Não</t>
  </si>
  <si>
    <t>Artefato</t>
  </si>
  <si>
    <t>Stax</t>
  </si>
  <si>
    <t>Cemitério</t>
  </si>
  <si>
    <t>Shivan Harvest</t>
  </si>
  <si>
    <t>Sim</t>
  </si>
  <si>
    <t>Encantamento</t>
  </si>
  <si>
    <t>Remoção</t>
  </si>
  <si>
    <t>Terreno</t>
  </si>
  <si>
    <t>Scouting Trek</t>
  </si>
  <si>
    <t>Feitiço</t>
  </si>
  <si>
    <t>Combo</t>
  </si>
  <si>
    <t>Tutor</t>
  </si>
  <si>
    <t>Overabundance</t>
  </si>
  <si>
    <t>Ramp</t>
  </si>
  <si>
    <t>Punição</t>
  </si>
  <si>
    <t>Spreading Plague</t>
  </si>
  <si>
    <t>Criaturas</t>
  </si>
  <si>
    <t>Explosão da Alma</t>
  </si>
  <si>
    <t>Instantânea</t>
  </si>
  <si>
    <t>Wincon</t>
  </si>
  <si>
    <t>Dano</t>
  </si>
  <si>
    <t>Interdict</t>
  </si>
  <si>
    <t>Anule</t>
  </si>
  <si>
    <t>Habilidade</t>
  </si>
  <si>
    <t>Mogg Infestation</t>
  </si>
  <si>
    <t>Life // Death</t>
  </si>
  <si>
    <t>Debt of Loyalt</t>
  </si>
  <si>
    <t>Roubo</t>
  </si>
  <si>
    <t>Yavimaya Hollow</t>
  </si>
  <si>
    <t>Proteção</t>
  </si>
  <si>
    <t>Dreams of the Dead</t>
  </si>
  <si>
    <t>Wrap in Vigor</t>
  </si>
  <si>
    <t>Tangleroot</t>
  </si>
  <si>
    <t>Porphyry Nodes</t>
  </si>
  <si>
    <t>Endless Whispers</t>
  </si>
  <si>
    <t>Chaos</t>
  </si>
  <si>
    <t>Hua Tuo, Honored Physician</t>
  </si>
  <si>
    <t>Criatura</t>
  </si>
  <si>
    <t>Recursão</t>
  </si>
  <si>
    <t>Kamber, the Plunderer</t>
  </si>
  <si>
    <t>Suporte</t>
  </si>
  <si>
    <t>Lifegain</t>
  </si>
  <si>
    <t>Cold Storage</t>
  </si>
  <si>
    <t>Blink</t>
  </si>
  <si>
    <t>Poção da Benfeitora</t>
  </si>
  <si>
    <t>Draw</t>
  </si>
  <si>
    <t>Untap</t>
  </si>
  <si>
    <t>Preferência de Cineréia</t>
  </si>
  <si>
    <t>Cleopatra, Exiled Pharaoh</t>
  </si>
  <si>
    <t>Wick, the Whorled Mind</t>
  </si>
  <si>
    <t>Commander</t>
  </si>
  <si>
    <t>Tribal</t>
  </si>
  <si>
    <t>The Infamous Cruelclaw</t>
  </si>
  <si>
    <t>Voltron</t>
  </si>
  <si>
    <t>Nome</t>
  </si>
  <si>
    <t>Cor</t>
  </si>
  <si>
    <t>Cor 2</t>
  </si>
  <si>
    <t>Poder</t>
  </si>
  <si>
    <t>Resistência</t>
  </si>
  <si>
    <t>Keyword</t>
  </si>
  <si>
    <t>Texto</t>
  </si>
  <si>
    <t>Possuídos</t>
  </si>
  <si>
    <t>Necessários</t>
  </si>
  <si>
    <t>4c Rash</t>
  </si>
  <si>
    <t>Akiri</t>
  </si>
  <si>
    <t>Alela</t>
  </si>
  <si>
    <t>Arcades</t>
  </si>
  <si>
    <t>Baylen</t>
  </si>
  <si>
    <t>Breya</t>
  </si>
  <si>
    <t>Carlos</t>
  </si>
  <si>
    <t>Elfos</t>
  </si>
  <si>
    <t>Fractius</t>
  </si>
  <si>
    <t>Gitrog</t>
  </si>
  <si>
    <t>Inalla</t>
  </si>
  <si>
    <t>Jhoira</t>
  </si>
  <si>
    <t>JhoiraB</t>
  </si>
  <si>
    <t>Kresh</t>
  </si>
  <si>
    <t>Kumena</t>
  </si>
  <si>
    <t>Little</t>
  </si>
  <si>
    <t>Modular</t>
  </si>
  <si>
    <t>Muzzio</t>
  </si>
  <si>
    <t>Narset</t>
  </si>
  <si>
    <t>Ool</t>
  </si>
  <si>
    <t>Oona</t>
  </si>
  <si>
    <t>OWA</t>
  </si>
  <si>
    <t>Piratas</t>
  </si>
  <si>
    <t>Rani</t>
  </si>
  <si>
    <t>Rielle</t>
  </si>
  <si>
    <t>Sisay</t>
  </si>
  <si>
    <t>Tayam</t>
  </si>
  <si>
    <t>Thrakiri</t>
  </si>
  <si>
    <t>VialIshai</t>
  </si>
  <si>
    <t>Yorion</t>
  </si>
  <si>
    <t>Yuriko</t>
  </si>
  <si>
    <t>Zedruu</t>
  </si>
  <si>
    <t>Zimone</t>
  </si>
  <si>
    <t>Zuko</t>
  </si>
  <si>
    <t>Creature</t>
  </si>
  <si>
    <t>Alien Warrior</t>
  </si>
  <si>
    <t>Red</t>
  </si>
  <si>
    <t>-</t>
  </si>
  <si>
    <t>Ally</t>
  </si>
  <si>
    <t>Colorless</t>
  </si>
  <si>
    <t>Angel</t>
  </si>
  <si>
    <t>White</t>
  </si>
  <si>
    <t>Fly</t>
  </si>
  <si>
    <t>Ape</t>
  </si>
  <si>
    <t>Green</t>
  </si>
  <si>
    <t>Assassin</t>
  </si>
  <si>
    <t>Black</t>
  </si>
  <si>
    <t>HK</t>
  </si>
  <si>
    <t>Bat</t>
  </si>
  <si>
    <t>Bear</t>
  </si>
  <si>
    <t>Beast</t>
  </si>
  <si>
    <t>Bird</t>
  </si>
  <si>
    <t>Blue</t>
  </si>
  <si>
    <t>Cat</t>
  </si>
  <si>
    <t>Emblem</t>
  </si>
  <si>
    <t>Chandra, Awakened Inferno</t>
  </si>
  <si>
    <t>Citizen</t>
  </si>
  <si>
    <t>Clone</t>
  </si>
  <si>
    <t>X</t>
  </si>
  <si>
    <t>Artifact</t>
  </si>
  <si>
    <t>Clue</t>
  </si>
  <si>
    <t>Construct</t>
  </si>
  <si>
    <t>+1/+1 por Artefato</t>
  </si>
  <si>
    <t>Defender</t>
  </si>
  <si>
    <t>Crab</t>
  </si>
  <si>
    <t>Darkstar Augur</t>
  </si>
  <si>
    <t>Demon</t>
  </si>
  <si>
    <t>Demon Vampire</t>
  </si>
  <si>
    <t>Dragon</t>
  </si>
  <si>
    <t>Firebending 4</t>
  </si>
  <si>
    <t>Dragon Scorpion</t>
  </si>
  <si>
    <t>Haste</t>
  </si>
  <si>
    <t>Drake</t>
  </si>
  <si>
    <t>Dungeon of the Mad Mage</t>
  </si>
  <si>
    <t>Dwarf</t>
  </si>
  <si>
    <t>Eldrazi Spawn</t>
  </si>
  <si>
    <t>sac: I</t>
  </si>
  <si>
    <t>Elemental</t>
  </si>
  <si>
    <t>Vigilance</t>
  </si>
  <si>
    <t>Dano LTB</t>
  </si>
  <si>
    <t>Trample</t>
  </si>
  <si>
    <t>Elephant</t>
  </si>
  <si>
    <t>Elf</t>
  </si>
  <si>
    <t>Elf Druid</t>
  </si>
  <si>
    <t>t: G</t>
  </si>
  <si>
    <t>Elf Warrior</t>
  </si>
  <si>
    <t>Energy</t>
  </si>
  <si>
    <t>Faerie</t>
  </si>
  <si>
    <t>Faerie Dragon</t>
  </si>
  <si>
    <t>Faerie Rogue</t>
  </si>
  <si>
    <t>Food</t>
  </si>
  <si>
    <t>Fractal</t>
  </si>
  <si>
    <t>Frog</t>
  </si>
  <si>
    <t>Gnome</t>
  </si>
  <si>
    <t>Gnome Soldier</t>
  </si>
  <si>
    <t>X = Artefatos</t>
  </si>
  <si>
    <t>Goat</t>
  </si>
  <si>
    <t>Goblin</t>
  </si>
  <si>
    <t>Criaturas Atacam</t>
  </si>
  <si>
    <t>Gold</t>
  </si>
  <si>
    <t>Halfling</t>
  </si>
  <si>
    <t>Hero</t>
  </si>
  <si>
    <t>Homunculos Horde</t>
  </si>
  <si>
    <t>Horror</t>
  </si>
  <si>
    <t>Human</t>
  </si>
  <si>
    <t>Human Cleric</t>
  </si>
  <si>
    <t>Human Soldier</t>
  </si>
  <si>
    <t>Illusion</t>
  </si>
  <si>
    <t>+1/+1 por Ilusão</t>
  </si>
  <si>
    <t>Insect</t>
  </si>
  <si>
    <t>Junk</t>
  </si>
  <si>
    <t>Kithkin</t>
  </si>
  <si>
    <t>Knight</t>
  </si>
  <si>
    <t>Kobold</t>
  </si>
  <si>
    <t>Kor Ally</t>
  </si>
  <si>
    <t>Kraken</t>
  </si>
  <si>
    <t>Lander</t>
  </si>
  <si>
    <t>Lizard Frog</t>
  </si>
  <si>
    <t>Lost Mine of Phandelver</t>
  </si>
  <si>
    <t>Map</t>
  </si>
  <si>
    <t>Enchantment</t>
  </si>
  <si>
    <t>Mark of the Rani</t>
  </si>
  <si>
    <t>Goaded</t>
  </si>
  <si>
    <t>Merfolk</t>
  </si>
  <si>
    <t>Hexproof</t>
  </si>
  <si>
    <t>Monk</t>
  </si>
  <si>
    <t>Prowess</t>
  </si>
  <si>
    <t>Munition</t>
  </si>
  <si>
    <t>Land</t>
  </si>
  <si>
    <t>Mutavault</t>
  </si>
  <si>
    <t>Necron Warrior</t>
  </si>
  <si>
    <t>Ogre</t>
  </si>
  <si>
    <t>Pest</t>
  </si>
  <si>
    <t>Morre 1 Vida</t>
  </si>
  <si>
    <t>Phyrexian Mite</t>
  </si>
  <si>
    <t>Phyrexian Myr</t>
  </si>
  <si>
    <t>Pilot</t>
  </si>
  <si>
    <t>Tripular 2</t>
  </si>
  <si>
    <t>Pincher</t>
  </si>
  <si>
    <t>Plant</t>
  </si>
  <si>
    <t>Powerstone</t>
  </si>
  <si>
    <t>Rabbit</t>
  </si>
  <si>
    <t>Rat</t>
  </si>
  <si>
    <t>Rebel</t>
  </si>
  <si>
    <t>Rhino Warrior</t>
  </si>
  <si>
    <t>Salamander Warrior</t>
  </si>
  <si>
    <t>Saproling</t>
  </si>
  <si>
    <t>Scarecrow</t>
  </si>
  <si>
    <t>Scute Swarm</t>
  </si>
  <si>
    <t>Servo</t>
  </si>
  <si>
    <t>Shapeshifter</t>
  </si>
  <si>
    <t>Changeling</t>
  </si>
  <si>
    <t>Snake</t>
  </si>
  <si>
    <t>Deathtouch</t>
  </si>
  <si>
    <t>Soldier</t>
  </si>
  <si>
    <t>Firebending 1</t>
  </si>
  <si>
    <t>Lifelink</t>
  </si>
  <si>
    <t>Spawn</t>
  </si>
  <si>
    <t>Spider</t>
  </si>
  <si>
    <t>Menace</t>
  </si>
  <si>
    <t>Reach</t>
  </si>
  <si>
    <t>Spirit</t>
  </si>
  <si>
    <t>Spirit Dragon</t>
  </si>
  <si>
    <t>Squirrel</t>
  </si>
  <si>
    <t>Starscape Cleric</t>
  </si>
  <si>
    <t>The Ring</t>
  </si>
  <si>
    <t>Thief</t>
  </si>
  <si>
    <t>Thopter</t>
  </si>
  <si>
    <t>Tomb of Annihilation</t>
  </si>
  <si>
    <t>Toy</t>
  </si>
  <si>
    <t>Treasure</t>
  </si>
  <si>
    <t>Vampire</t>
  </si>
  <si>
    <t>Vampire Demon</t>
  </si>
  <si>
    <t>Wall</t>
  </si>
  <si>
    <t>Warrior</t>
  </si>
  <si>
    <t>Wedding Ring</t>
  </si>
  <si>
    <t>Wizard</t>
  </si>
  <si>
    <t>t: R</t>
  </si>
  <si>
    <t>Wolf</t>
  </si>
  <si>
    <t>Garruks</t>
  </si>
  <si>
    <t>Zombie</t>
  </si>
  <si>
    <t>Sliver</t>
  </si>
  <si>
    <t>Total:</t>
  </si>
  <si>
    <t>Deck</t>
  </si>
  <si>
    <t>Entra</t>
  </si>
  <si>
    <t>Sai</t>
  </si>
  <si>
    <t>Fonte</t>
  </si>
  <si>
    <t>Marcelo</t>
  </si>
  <si>
    <t>Total Lojas:</t>
  </si>
  <si>
    <t>Hamster</t>
  </si>
  <si>
    <t>Liga</t>
  </si>
  <si>
    <t>Bloom Tender</t>
  </si>
  <si>
    <t>Formidable Speaker</t>
  </si>
  <si>
    <t>Selfless Safewright</t>
  </si>
  <si>
    <t>Fetch n WG WU</t>
  </si>
  <si>
    <t>Mirrorpool</t>
  </si>
  <si>
    <t>N</t>
  </si>
  <si>
    <t>Secret Lair Showdown (31 - 35)</t>
  </si>
  <si>
    <t>x</t>
  </si>
  <si>
    <t>SL 674</t>
  </si>
  <si>
    <t>SL 673</t>
  </si>
  <si>
    <t>SL 690</t>
  </si>
  <si>
    <t>SL 476</t>
  </si>
  <si>
    <t>SL 466</t>
  </si>
  <si>
    <t>SL Godzila (63 - 67)</t>
  </si>
  <si>
    <t>SL Kozyndan (1130 - 1134)</t>
  </si>
  <si>
    <t>SL SyFy 2 (1088 - 1092)</t>
  </si>
  <si>
    <t>SL Rainig Cats and Dogs (1513 - 1515)</t>
  </si>
  <si>
    <t>Year of the Dragon 2024</t>
  </si>
  <si>
    <t>Year of the Snake 2025</t>
  </si>
  <si>
    <t>SL Snow Creatures (1473 - 1477)</t>
  </si>
  <si>
    <t>SL Windows (1468 - 1472)</t>
  </si>
  <si>
    <t>SL Meditation (1399 - 1403)</t>
  </si>
  <si>
    <t>SL Gary Baseman (1382 - 1386)</t>
  </si>
  <si>
    <t>SL Psycodelic (1478 - 1482)</t>
  </si>
  <si>
    <t>SL Bob Esponja (1939 - 1943)</t>
  </si>
  <si>
    <t>SL Astrology 3 (384 - 395)</t>
  </si>
  <si>
    <t>SL Astrology 2 (384 - 395)</t>
  </si>
  <si>
    <t>SL Astrology 1 (384 - 395)</t>
  </si>
  <si>
    <t>SL Full-Text (254 - 258)</t>
  </si>
  <si>
    <t>SL Tarot (239 - 243)</t>
  </si>
  <si>
    <t>SL  Seb Mickon 119</t>
  </si>
  <si>
    <t>SL Bands (2076 - 2080)</t>
  </si>
  <si>
    <t>SL Fortnite (448 - 452)</t>
  </si>
  <si>
    <t>SL Tokyo (46 - 50)</t>
  </si>
  <si>
    <t>SL SyFy (415 - 419)</t>
  </si>
  <si>
    <t>SL Dracula (359 - 363)</t>
  </si>
  <si>
    <t>SL Snow Windows (325 - 329)</t>
  </si>
  <si>
    <t>SL MSCHF 670</t>
  </si>
  <si>
    <t>MKM Showdown</t>
  </si>
  <si>
    <t>Judge Promo 2014</t>
  </si>
  <si>
    <t>Judge Promo 2023</t>
  </si>
  <si>
    <t>s</t>
  </si>
  <si>
    <t>Lorwyn Eclipsed 2</t>
  </si>
  <si>
    <t>Lorwyn Eclipsed 1</t>
  </si>
  <si>
    <t>Avatar - Appa Lands</t>
  </si>
  <si>
    <t>Avatar - Momo Lands</t>
  </si>
  <si>
    <t>Spider Man</t>
  </si>
  <si>
    <t>Edges of Eternities Celestial</t>
  </si>
  <si>
    <t>Final Fantasy 3</t>
  </si>
  <si>
    <t>Final Fantasy 2</t>
  </si>
  <si>
    <t>Final Fantasy 1</t>
  </si>
  <si>
    <t>Dragonstorm Eyes</t>
  </si>
  <si>
    <t>Dragonstorm Shades</t>
  </si>
  <si>
    <t>Aetherdrift Rotes</t>
  </si>
  <si>
    <t>Aetherdrift Drivers</t>
  </si>
  <si>
    <t>Aetherdrift</t>
  </si>
  <si>
    <t>Foundations 2</t>
  </si>
  <si>
    <t>Foundations 1</t>
  </si>
  <si>
    <t>Duskmourn</t>
  </si>
  <si>
    <t>Bloomburrow Winter</t>
  </si>
  <si>
    <t>Bloomburrow Fall</t>
  </si>
  <si>
    <t>Bloomburrow Spring</t>
  </si>
  <si>
    <t>Bloomburrow Summer</t>
  </si>
  <si>
    <t>Assassin's Creed 2</t>
  </si>
  <si>
    <t>Assassin's Creed 1</t>
  </si>
  <si>
    <t>MH3</t>
  </si>
  <si>
    <t>Outlaws</t>
  </si>
  <si>
    <t>Fallout 2</t>
  </si>
  <si>
    <t>Fallout 1</t>
  </si>
  <si>
    <t>Murders at Karlov Manor</t>
  </si>
  <si>
    <t>Jurassic World Collection</t>
  </si>
  <si>
    <t>Lost Caverns Ixalan</t>
  </si>
  <si>
    <t>Wilds of Eldraine</t>
  </si>
  <si>
    <t>LotR 2</t>
  </si>
  <si>
    <t>LotR 1</t>
  </si>
  <si>
    <t>March of the Machine 2</t>
  </si>
  <si>
    <t>March of the Machine 1</t>
  </si>
  <si>
    <t>Unfinity 2</t>
  </si>
  <si>
    <t>Unfinity 1</t>
  </si>
  <si>
    <t>Dominaria United</t>
  </si>
  <si>
    <t>Cappena 2</t>
  </si>
  <si>
    <t>Cappena 1</t>
  </si>
  <si>
    <t>Kamigawa Neon 2</t>
  </si>
  <si>
    <t>Kamigawa Neon 1</t>
  </si>
  <si>
    <t>Innistrad Crimson 2</t>
  </si>
  <si>
    <t>Innistrad Crimson 1</t>
  </si>
  <si>
    <t>Innistrad Midnight 2</t>
  </si>
  <si>
    <t>Innistrad Midnight 1</t>
  </si>
  <si>
    <t>Zendikar Rising 3</t>
  </si>
  <si>
    <t>Zendikar Rising 2</t>
  </si>
  <si>
    <t>Zendikar Rising 1</t>
  </si>
  <si>
    <t>Unsanctioned</t>
  </si>
  <si>
    <t>Theros Beyond Death</t>
  </si>
  <si>
    <t>MH1 Snow</t>
  </si>
  <si>
    <t>Unstable</t>
  </si>
  <si>
    <t>Hora da Devastação</t>
  </si>
  <si>
    <t>Amonkhet</t>
  </si>
  <si>
    <t>Battle for Zendikar 5</t>
  </si>
  <si>
    <t>Battle for Zendikar 4</t>
  </si>
  <si>
    <t>Battle for Zendikar 3</t>
  </si>
  <si>
    <t>Battle for Zendikar 2</t>
  </si>
  <si>
    <t>Battle for Zendikar 1</t>
  </si>
  <si>
    <t>Zendikar 4</t>
  </si>
  <si>
    <t>Zendikar 3</t>
  </si>
  <si>
    <t>Zendikar 2</t>
  </si>
  <si>
    <t>Zendikar 1</t>
  </si>
  <si>
    <t>Unhinged</t>
  </si>
  <si>
    <t>Wastes</t>
  </si>
  <si>
    <t>Unglued</t>
  </si>
  <si>
    <t>FF</t>
  </si>
  <si>
    <t>Edição</t>
  </si>
  <si>
    <t>Floresta</t>
  </si>
  <si>
    <t>Pântano</t>
  </si>
  <si>
    <t>Montanha</t>
  </si>
  <si>
    <t>Ilha</t>
  </si>
  <si>
    <t>Planície</t>
  </si>
  <si>
    <t>Wizened Mentor</t>
  </si>
  <si>
    <t>4cRash.xlsx</t>
  </si>
  <si>
    <t>Akiri.xlsx</t>
  </si>
  <si>
    <t>Alela.xlsx</t>
  </si>
  <si>
    <t>Arcades.xlsx</t>
  </si>
  <si>
    <t>Baylen.xlsx</t>
  </si>
  <si>
    <t>Breya.xlsx</t>
  </si>
  <si>
    <t>Carlos.xlsx</t>
  </si>
  <si>
    <t>Elfos.xlsx</t>
  </si>
  <si>
    <t>Fractius.xlsx</t>
  </si>
  <si>
    <t>Inalla.xlsx</t>
  </si>
  <si>
    <t>Jhoira.xlsx</t>
  </si>
  <si>
    <t>JhoiraBichao.xlsx</t>
  </si>
  <si>
    <t>Kresh.xlsx</t>
  </si>
  <si>
    <t>Littles.xlsx</t>
  </si>
  <si>
    <t>Muzzio.xlsx</t>
  </si>
  <si>
    <t>Narset.xlsx</t>
  </si>
  <si>
    <t>Oona.xlsx</t>
  </si>
  <si>
    <t>OwA.xlsx</t>
  </si>
  <si>
    <t>Piratas.xlsx</t>
  </si>
  <si>
    <t>Rani.xlsx</t>
  </si>
  <si>
    <t>Baeloth Barrityl, Entertainer</t>
  </si>
  <si>
    <t>Rielle.xlsx</t>
  </si>
  <si>
    <t>Sisay.xlsx</t>
  </si>
  <si>
    <t>Thrakiri.xlsx</t>
  </si>
  <si>
    <t>Revitalizing Repast</t>
  </si>
  <si>
    <t>Hollowmurk Siege</t>
  </si>
  <si>
    <t>Toph.xlsx</t>
  </si>
  <si>
    <t>VialIshai.xlsx</t>
  </si>
  <si>
    <t>Yorion.xlsx</t>
  </si>
  <si>
    <t>Yuriko.xlsx</t>
  </si>
  <si>
    <t>Zedruu.xlsx</t>
  </si>
  <si>
    <t>Zimone.xlsx</t>
  </si>
  <si>
    <t>Zuko.xlsx</t>
  </si>
  <si>
    <t>4cRash</t>
  </si>
  <si>
    <t>Ool.xlsx</t>
  </si>
  <si>
    <t>Rogue's Passage</t>
  </si>
  <si>
    <t>Scavenging Ooze</t>
  </si>
  <si>
    <t>Pile On</t>
  </si>
  <si>
    <t>Mountain</t>
  </si>
  <si>
    <t>The Hunger Tide Rises</t>
  </si>
  <si>
    <t>Plains</t>
  </si>
  <si>
    <t>Forest</t>
  </si>
  <si>
    <t>Atomize</t>
  </si>
  <si>
    <t>Spitting Dilophosaurus</t>
  </si>
  <si>
    <t>Glistening Oil</t>
  </si>
  <si>
    <t>Hall</t>
  </si>
  <si>
    <t>Ballroom</t>
  </si>
  <si>
    <t>Hurl Through Hell</t>
  </si>
  <si>
    <t>Reconnaissance</t>
  </si>
  <si>
    <t>Plargg and Nassari</t>
  </si>
  <si>
    <t>Fires of Mount Doom</t>
  </si>
  <si>
    <t>Indulge // Excess</t>
  </si>
  <si>
    <t>Carta Atual</t>
  </si>
  <si>
    <t>Danitha Capashen, Paragon</t>
  </si>
  <si>
    <t>Digsite Engineer</t>
  </si>
  <si>
    <t>Shifting Shadow</t>
  </si>
  <si>
    <t>Rebbec, Architect of Ascension</t>
  </si>
  <si>
    <t>Tenza, Godo's Maul</t>
  </si>
  <si>
    <t>Loxodon Warhammer</t>
  </si>
  <si>
    <t>Plate Armor</t>
  </si>
  <si>
    <t>Horn of Valhalla // Ysgard's Call</t>
  </si>
  <si>
    <t>Kusari-Gama</t>
  </si>
  <si>
    <t>Dispeller's Capsule</t>
  </si>
  <si>
    <t>Invasion of Tolvada</t>
  </si>
  <si>
    <t>Titanic Ultimatum</t>
  </si>
  <si>
    <t>Kayla's Command</t>
  </si>
  <si>
    <t>Night of the Sweets' Revenge</t>
  </si>
  <si>
    <t>Naya Charm</t>
  </si>
  <si>
    <t>Rosie Cotton of South Lane</t>
  </si>
  <si>
    <t>Tireless Tracker</t>
  </si>
  <si>
    <t>Chatterstorm</t>
  </si>
  <si>
    <t>True Ancestry</t>
  </si>
  <si>
    <t>Prosperous Innkeeper</t>
  </si>
  <si>
    <t>Elesh Norn</t>
  </si>
  <si>
    <t>Detective's Satchel</t>
  </si>
  <si>
    <t>High Priest of Penance</t>
  </si>
  <si>
    <t>Sun Droplet</t>
  </si>
  <si>
    <t>Swamp</t>
  </si>
  <si>
    <t>Mortuary Mire</t>
  </si>
  <si>
    <t>Evolving Wilds</t>
  </si>
  <si>
    <t>Island</t>
  </si>
  <si>
    <t>Llanowar Loamspeaker</t>
  </si>
  <si>
    <t>Villainous Wealth</t>
  </si>
  <si>
    <t>Opulent Palace</t>
  </si>
  <si>
    <t>Ash Barrens</t>
  </si>
  <si>
    <t>Sandsteppe Citadel</t>
  </si>
  <si>
    <t>Lymph Sliver</t>
  </si>
  <si>
    <t>Clot Sliver</t>
  </si>
  <si>
    <t>Wall of Roots</t>
  </si>
  <si>
    <t>Golgari Signet</t>
  </si>
  <si>
    <t>Shire Terrace</t>
  </si>
  <si>
    <t>Chromatic Lantern</t>
  </si>
  <si>
    <t>Aether Adept</t>
  </si>
  <si>
    <t>Patriarch's Bidding</t>
  </si>
  <si>
    <t>Nezahal, Primal Tide</t>
  </si>
  <si>
    <t>Hedron Archive</t>
  </si>
  <si>
    <t>Fire Diamond</t>
  </si>
  <si>
    <t>Aeon Chronicler</t>
  </si>
  <si>
    <t>Deep-Sea Kraken</t>
  </si>
  <si>
    <t>Kederekt Leviathan</t>
  </si>
  <si>
    <t>Scourge of Fleets</t>
  </si>
  <si>
    <t>Stormtide Leviathan</t>
  </si>
  <si>
    <t>Ingot Chewer</t>
  </si>
  <si>
    <t>Dawntreader Elk</t>
  </si>
  <si>
    <t>Murderous Rider // Swift End</t>
  </si>
  <si>
    <t>Ritual of Soot</t>
  </si>
  <si>
    <t>Savage Twister</t>
  </si>
  <si>
    <t>Incite Rebellion</t>
  </si>
  <si>
    <t>Decanter of Endless Water</t>
  </si>
  <si>
    <t>Rakdos Carnarium</t>
  </si>
  <si>
    <t>Baleful Mastery</t>
  </si>
  <si>
    <t>Living Death</t>
  </si>
  <si>
    <t>Worn Powerstone</t>
  </si>
  <si>
    <t>Realmbreaker, the Invasion Tree</t>
  </si>
  <si>
    <t>Crashing Drawbridge</t>
  </si>
  <si>
    <t>Antecipar</t>
  </si>
  <si>
    <t>Opt</t>
  </si>
  <si>
    <t>Twinferno</t>
  </si>
  <si>
    <t>Surge of Salvation</t>
  </si>
  <si>
    <t>Trailblazer's Boots</t>
  </si>
  <si>
    <t>Fraying Sanity</t>
  </si>
  <si>
    <t>Sanctum of Calm Waters</t>
  </si>
  <si>
    <t>Path of Ancestry</t>
  </si>
  <si>
    <t>Savage Lands</t>
  </si>
  <si>
    <t>Tree of Perdition</t>
  </si>
  <si>
    <t>Persist</t>
  </si>
  <si>
    <t>Unnatural Restoration</t>
  </si>
  <si>
    <t>Sisay's Ring</t>
  </si>
  <si>
    <t>Inspiring Statuary</t>
  </si>
  <si>
    <t>Elves of Deep Shadow</t>
  </si>
  <si>
    <t>Wyll's Reversal</t>
  </si>
  <si>
    <t>Dreadship Reef</t>
  </si>
  <si>
    <t>Molten Slagheap</t>
  </si>
  <si>
    <t>Shiny Impetus</t>
  </si>
  <si>
    <t>Goblin Spymaster</t>
  </si>
  <si>
    <t>Nimble Obstructionist</t>
  </si>
  <si>
    <t>Wizard's Retort</t>
  </si>
  <si>
    <t>Life Insurance</t>
  </si>
  <si>
    <t>Kasmina, Enigma Sage</t>
  </si>
  <si>
    <t>The Eldest Reborn</t>
  </si>
  <si>
    <t>Bant Charm</t>
  </si>
  <si>
    <t>Urza's Ruinous Blast</t>
  </si>
  <si>
    <t>Nicol Bolas, Dragon-God</t>
  </si>
  <si>
    <t>Supreme Verdict</t>
  </si>
  <si>
    <t>Urza Assembles the Titans</t>
  </si>
  <si>
    <t>Oath of Liliana</t>
  </si>
  <si>
    <t>Sarinth Greatwurm</t>
  </si>
  <si>
    <t>Terramorphic Expanse</t>
  </si>
  <si>
    <t>Harrow</t>
  </si>
  <si>
    <t>Slagdrill Scrapper</t>
  </si>
  <si>
    <t>Liquimetal Coating</t>
  </si>
  <si>
    <t>Sacred Ground</t>
  </si>
  <si>
    <t>Silundi Vision</t>
  </si>
  <si>
    <t>Dissipation Field</t>
  </si>
  <si>
    <t>Whelming Wave</t>
  </si>
  <si>
    <t>Karn's Temporal Sundering</t>
  </si>
  <si>
    <t>Part the Waterveil</t>
  </si>
  <si>
    <t>Vale Afundado</t>
  </si>
  <si>
    <t>Piranha Marsh</t>
  </si>
  <si>
    <t>Jolrael, Mwonvuli Recluse</t>
  </si>
  <si>
    <t>Ghoulish Procession</t>
  </si>
  <si>
    <t>Pinnacle Monk</t>
  </si>
  <si>
    <t>Obscura Storefront</t>
  </si>
  <si>
    <t>Riveteers Overlook</t>
  </si>
  <si>
    <t>Naya Panorama</t>
  </si>
  <si>
    <t>Dire Tactics</t>
  </si>
  <si>
    <t>Fumigate</t>
  </si>
  <si>
    <t>Prowler's Helm</t>
  </si>
  <si>
    <t>Hot Soup</t>
  </si>
  <si>
    <t>Valakut Exploration</t>
  </si>
  <si>
    <t>Cait Sith, Fortune Teller</t>
  </si>
  <si>
    <t>Em Uso</t>
  </si>
  <si>
    <t>Mandibular Kite</t>
  </si>
  <si>
    <t>Nettlecyst</t>
  </si>
  <si>
    <t>Shadowspear</t>
  </si>
  <si>
    <t>Maul of the Skyclaves</t>
  </si>
  <si>
    <t>Pip-Boy 3000</t>
  </si>
  <si>
    <t>Abigale, Eloquent First-Year</t>
  </si>
  <si>
    <t>Brightglass Gearhulk</t>
  </si>
  <si>
    <t>Oswald Fiddlebender</t>
  </si>
  <si>
    <t>Dismember</t>
  </si>
  <si>
    <t>Fiery Inscription</t>
  </si>
  <si>
    <t>Zhur-Taa Druid</t>
  </si>
  <si>
    <t>Parcelbeast</t>
  </si>
  <si>
    <t>Dawnbringer Cleric</t>
  </si>
  <si>
    <t>Abdel Adrian, Gorion's Ward</t>
  </si>
  <si>
    <t>Distinguished Conjurer</t>
  </si>
  <si>
    <t>Proteus Staff</t>
  </si>
  <si>
    <t>Crystal Shard</t>
  </si>
  <si>
    <t>Phyrexian Metamorph</t>
  </si>
  <si>
    <t>Curtains' Call</t>
  </si>
  <si>
    <t>Game Over</t>
  </si>
  <si>
    <t>Big Apple, 3 a.m.</t>
  </si>
  <si>
    <t>Ninja Pizza</t>
  </si>
  <si>
    <t>Endless Foot Assault</t>
  </si>
  <si>
    <t>Silverbluff Bridge</t>
  </si>
  <si>
    <t>Mistvault Bridge</t>
  </si>
  <si>
    <t>Drossforge Bridge</t>
  </si>
  <si>
    <t>Fellwar Stone</t>
  </si>
  <si>
    <t>Progenitor's Icon</t>
  </si>
  <si>
    <t>Gilded Lotus</t>
  </si>
  <si>
    <t>Ertai Resurrected</t>
  </si>
  <si>
    <t>Marchesa, the Black Rose</t>
  </si>
  <si>
    <t>Curse of Verbosity</t>
  </si>
  <si>
    <t>Pyre of Heroes</t>
  </si>
  <si>
    <t>Idol of Oblivion</t>
  </si>
  <si>
    <t>Kitsune's Technique</t>
  </si>
  <si>
    <t>Cool but Rude</t>
  </si>
  <si>
    <t>Technodrome</t>
  </si>
  <si>
    <t>Mikey &amp; Leo, Chaos &amp; Order</t>
  </si>
  <si>
    <t>The Ooze</t>
  </si>
  <si>
    <t>Splinter's Technique</t>
  </si>
  <si>
    <t>Super Shredder</t>
  </si>
  <si>
    <t>Secure the Wastes</t>
  </si>
  <si>
    <t>Marauding Blight-Priest</t>
  </si>
  <si>
    <t>Panharmonicon</t>
  </si>
  <si>
    <t>Mirrodin's Core</t>
  </si>
  <si>
    <t>Mana Echoes</t>
  </si>
  <si>
    <t>Sidisi's Faithful</t>
  </si>
  <si>
    <t>Galecaster Colossus</t>
  </si>
  <si>
    <t>Whirlwind Denial</t>
  </si>
  <si>
    <t>Countersquall</t>
  </si>
  <si>
    <t>Wanderwine Prophets</t>
  </si>
  <si>
    <t>Cackling Counterpart</t>
  </si>
  <si>
    <t>Obyra, Dreaming Duelist</t>
  </si>
  <si>
    <t>Fyndhorn Elves</t>
  </si>
  <si>
    <t>Gilded Goose</t>
  </si>
  <si>
    <t>Improbable Alliance</t>
  </si>
  <si>
    <t>Temple of Deceit</t>
  </si>
  <si>
    <t>Oboro Breezecaller</t>
  </si>
  <si>
    <t>Kadena.xlsx</t>
  </si>
  <si>
    <t>Winding Canyons</t>
  </si>
  <si>
    <t>Brine Elemental</t>
  </si>
  <si>
    <t>Grazilaxx, Illithid Scholar</t>
  </si>
  <si>
    <t>Sword of Feast and Famine</t>
  </si>
  <si>
    <t>Excalibur, Sword of Eden</t>
  </si>
  <si>
    <t>Alterações</t>
  </si>
  <si>
    <t>Cores</t>
  </si>
  <si>
    <t>Total</t>
  </si>
  <si>
    <t>Sub Plan</t>
  </si>
  <si>
    <t>Descrição</t>
  </si>
  <si>
    <t>Prioridade</t>
  </si>
  <si>
    <t>Engrenagens para Combar</t>
  </si>
  <si>
    <t>Combate</t>
  </si>
  <si>
    <t>Equipamentos</t>
  </si>
  <si>
    <t>Dano Direto</t>
  </si>
  <si>
    <t>Ganhar Vida e Reanimate</t>
  </si>
  <si>
    <t>Big Mana</t>
  </si>
  <si>
    <t>Destruição em Massa</t>
  </si>
  <si>
    <t>Controle Voltron</t>
  </si>
  <si>
    <t>Ping</t>
  </si>
  <si>
    <t>Turnos Extras</t>
  </si>
  <si>
    <t>Mill</t>
  </si>
  <si>
    <t>Mill e Tokens</t>
  </si>
  <si>
    <t>Tribal de Tritões</t>
  </si>
  <si>
    <t>Caos</t>
  </si>
  <si>
    <t>Stax e Tokens</t>
  </si>
  <si>
    <t>Bater sem Apanhar</t>
  </si>
  <si>
    <t>Muitos Tokens</t>
  </si>
  <si>
    <t>Marcador e Modular</t>
  </si>
  <si>
    <t>Tokens e Reanimate</t>
  </si>
  <si>
    <t>Tesouros e Roubos</t>
  </si>
  <si>
    <t>Atiçar e Investigar</t>
  </si>
  <si>
    <t>Magos e Combos</t>
  </si>
  <si>
    <t>Terrenos e Valor</t>
  </si>
  <si>
    <t>Muita Mana</t>
  </si>
  <si>
    <t>-1/-1 Control</t>
  </si>
  <si>
    <t>Controlar e Punir</t>
  </si>
  <si>
    <t>Thopteros e Blink</t>
  </si>
  <si>
    <t>Aggro Small Creatures</t>
  </si>
  <si>
    <t>Spellslinger</t>
  </si>
  <si>
    <t>Instant Ramp Control</t>
  </si>
  <si>
    <t>Super-Amigos</t>
  </si>
  <si>
    <t>Tribal de Fractius</t>
  </si>
  <si>
    <t>Littles</t>
  </si>
  <si>
    <t>Morph Control</t>
  </si>
  <si>
    <t>Kadena</t>
  </si>
  <si>
    <t>JhoiraBichao</t>
  </si>
  <si>
    <t>Sunforge Exile</t>
  </si>
  <si>
    <t>TMNT Pizza Lands</t>
  </si>
  <si>
    <t>Ellyn Harbreeze, Busybody</t>
  </si>
  <si>
    <t>Alora, Merry Thief</t>
  </si>
  <si>
    <t>Ominous Asylum</t>
  </si>
  <si>
    <t>Underground River</t>
  </si>
  <si>
    <t>Sunken Ruins</t>
  </si>
  <si>
    <t>Twilight Mire</t>
  </si>
  <si>
    <t>Enduring Vitality</t>
  </si>
  <si>
    <t>Cryptolith Rite</t>
  </si>
  <si>
    <t>Chord of Calling</t>
  </si>
  <si>
    <t>Apprentice Necromancer</t>
  </si>
  <si>
    <t>Victor</t>
  </si>
  <si>
    <t>Equilibrium</t>
  </si>
  <si>
    <t>Cloudstone Curio</t>
  </si>
  <si>
    <t>Sulfurous Springs</t>
  </si>
  <si>
    <t>Ocelot Pride</t>
  </si>
  <si>
    <t>Hanweir Militia Captain</t>
  </si>
  <si>
    <t>Redoubled Stormsinger</t>
  </si>
  <si>
    <t>Stadium Headliner</t>
  </si>
  <si>
    <t>Iroas, God of Victory</t>
  </si>
  <si>
    <t>Warren Soultrader</t>
  </si>
  <si>
    <t>Anguished Unmaking</t>
  </si>
  <si>
    <t>Overgrown Zealot</t>
  </si>
  <si>
    <t>Veteran Soldier</t>
  </si>
  <si>
    <t>Behind the Scenes</t>
  </si>
  <si>
    <t>Sivriss, Nightmare Speaker</t>
  </si>
  <si>
    <t>Mahadi, Emporium Master</t>
  </si>
  <si>
    <t>Bontu's Monument</t>
  </si>
  <si>
    <t>Harbinger of Night</t>
  </si>
  <si>
    <t>Aphetto Exterminator</t>
  </si>
  <si>
    <t>Chain Reaction</t>
  </si>
  <si>
    <t>Cult Conscript</t>
  </si>
  <si>
    <t>Toph</t>
  </si>
  <si>
    <t>Pé</t>
  </si>
  <si>
    <t>Aristocrata</t>
  </si>
  <si>
    <t>Pé.xlsx</t>
  </si>
  <si>
    <t>Slimefoot, the Stowaway</t>
  </si>
  <si>
    <t>Bala Ged Recovery</t>
  </si>
  <si>
    <t>High Market</t>
  </si>
  <si>
    <t>Westvale Abbey</t>
  </si>
  <si>
    <t>Evendo, Waking Haven</t>
  </si>
  <si>
    <t>Temple of the False God</t>
  </si>
  <si>
    <t>Utopia Sprawl</t>
  </si>
  <si>
    <t>Arcane Signet</t>
  </si>
  <si>
    <t>Farseek</t>
  </si>
  <si>
    <t>Insidious Roots</t>
  </si>
  <si>
    <t>Jaheira, Friend of the Forest</t>
  </si>
  <si>
    <t>Growing Rites of Itlimoc</t>
  </si>
  <si>
    <t>Circle of Dreams Druid</t>
  </si>
  <si>
    <t>Skullclamp</t>
  </si>
  <si>
    <t>Snake Umbra</t>
  </si>
  <si>
    <t>Fecundity</t>
  </si>
  <si>
    <t>Body Count</t>
  </si>
  <si>
    <t>Deadly Dispute</t>
  </si>
  <si>
    <t>Black Market</t>
  </si>
  <si>
    <t>Druidic Satchel</t>
  </si>
  <si>
    <t>Illusionist's Bracers</t>
  </si>
  <si>
    <t>Insidious Fungus</t>
  </si>
  <si>
    <t>Toxic Deluge</t>
  </si>
  <si>
    <t>Vraska, Golgari Queen</t>
  </si>
  <si>
    <t>Golgari Charm</t>
  </si>
  <si>
    <t>Tear Asunder</t>
  </si>
  <si>
    <t>Mortality Spear</t>
  </si>
  <si>
    <t>Secrets of Strixhaven</t>
  </si>
  <si>
    <t>Abhorrent Oculus</t>
  </si>
  <si>
    <t>Orcish Bowmasters</t>
  </si>
  <si>
    <t>Exotic Orchard</t>
  </si>
  <si>
    <t>Minamo, School at Water's Edge</t>
  </si>
  <si>
    <t>Street Spasm</t>
  </si>
  <si>
    <t>Cryptic Coat</t>
  </si>
  <si>
    <t>Blood Artist</t>
  </si>
  <si>
    <t>Pilha de Mutates</t>
  </si>
  <si>
    <t>Hivelord</t>
  </si>
  <si>
    <t>Hivelord.xlsx</t>
  </si>
  <si>
    <t>Faeburrow Elder</t>
  </si>
  <si>
    <t>Selesnya Signet</t>
  </si>
  <si>
    <t>Azorius Signet</t>
  </si>
  <si>
    <t>Boros Signet</t>
  </si>
  <si>
    <t>Orzhov Signet</t>
  </si>
  <si>
    <t>Gruul Signet</t>
  </si>
  <si>
    <t>Simic Signet</t>
  </si>
  <si>
    <t>Dimir Signet</t>
  </si>
  <si>
    <t>Izzet Signet</t>
  </si>
  <si>
    <t>Rakdos Signet</t>
  </si>
  <si>
    <t>Season of Growth</t>
  </si>
  <si>
    <t>Lifecrafter's Bestiary</t>
  </si>
  <si>
    <t>Primal Empathy</t>
  </si>
  <si>
    <t>Bitter Work</t>
  </si>
  <si>
    <t>Helga, Skittish Seer</t>
  </si>
  <si>
    <t>Pollywog Symbiote</t>
  </si>
  <si>
    <t>Damn</t>
  </si>
  <si>
    <t>Gaze of Granite</t>
  </si>
  <si>
    <t>Death Begets Life</t>
  </si>
  <si>
    <t>Propaganda</t>
  </si>
  <si>
    <t>Swiftfoot Boots</t>
  </si>
  <si>
    <t>Asceticism</t>
  </si>
  <si>
    <t>Simic Charm</t>
  </si>
  <si>
    <t>Mindleecher</t>
  </si>
  <si>
    <t>Gemrazer</t>
  </si>
  <si>
    <t>Snapdax, Apex of the Hunt</t>
  </si>
  <si>
    <t>Pouncing Shoreshark</t>
  </si>
  <si>
    <t>Souvenir Snatcher</t>
  </si>
  <si>
    <t>Illuna, Apex of Wishes</t>
  </si>
  <si>
    <t>Nethroi, Apex of Death</t>
  </si>
  <si>
    <t>Dreamtail Heron</t>
  </si>
  <si>
    <t>Vadrok, Apex of Thunder</t>
  </si>
  <si>
    <t>Otrimi, the Ever-Playful</t>
  </si>
  <si>
    <t>Sea-Dasher Octopus</t>
  </si>
  <si>
    <t>Migratory Greathorn</t>
  </si>
  <si>
    <t>Brokkos, Apex of Forever</t>
  </si>
  <si>
    <t>Glowstone Recluse</t>
  </si>
  <si>
    <t>Insatiable Hemophage</t>
  </si>
  <si>
    <t>Boneyard Lurker</t>
  </si>
  <si>
    <t>Vulpikeet</t>
  </si>
  <si>
    <t>Trumpeting Gnarr</t>
  </si>
  <si>
    <t>Necropanther</t>
  </si>
  <si>
    <t>Cubwarden</t>
  </si>
  <si>
    <t>Lore Drakkis</t>
  </si>
  <si>
    <t>Auspicious Starrix</t>
  </si>
  <si>
    <t>Sawtusk Demolisher</t>
  </si>
  <si>
    <t>Volo, Guide to Monsters</t>
  </si>
  <si>
    <t>Hinata, Dawn-Crowned</t>
  </si>
  <si>
    <t>Killian, Ink Duelist</t>
  </si>
  <si>
    <t>Evolutionary Leap</t>
  </si>
  <si>
    <t>Scheming Silvertongue // Sign in Blood</t>
  </si>
  <si>
    <t>Tireless Provisioner</t>
  </si>
  <si>
    <t>Monologue Tax</t>
  </si>
  <si>
    <t>Defacing Duskmage // Vandal's Edit</t>
  </si>
  <si>
    <t>Myrel, Shield of Argive</t>
  </si>
  <si>
    <t>Caesar, Legion's Emperor</t>
  </si>
  <si>
    <t>Adeline, Resplendent Cathar</t>
  </si>
  <si>
    <t>Voice of Victory</t>
  </si>
  <si>
    <t>Necrobloom.xlsx</t>
  </si>
  <si>
    <t>Field of the Dead</t>
  </si>
  <si>
    <t>Canopy Vista</t>
  </si>
  <si>
    <t>Dark Depths</t>
  </si>
  <si>
    <t>Vesuva</t>
  </si>
  <si>
    <t>Shifting Woodland</t>
  </si>
  <si>
    <t>Dryad Arbor</t>
  </si>
  <si>
    <t>Teval's Judgment</t>
  </si>
  <si>
    <t>Caretaker's Talent</t>
  </si>
  <si>
    <t>Fecund Greenshell</t>
  </si>
  <si>
    <t>Braids, Arisen Nightmare</t>
  </si>
  <si>
    <t>Druid Class</t>
  </si>
  <si>
    <t>Exploration Broodship</t>
  </si>
  <si>
    <t>Loot, Exuberant Explorer</t>
  </si>
  <si>
    <t>Icetill Explorer</t>
  </si>
  <si>
    <t>Felidar Retreat</t>
  </si>
  <si>
    <t>On Wings of Gold</t>
  </si>
  <si>
    <t>Cauldron of Essence</t>
  </si>
  <si>
    <t>Immoral Bargain</t>
  </si>
  <si>
    <t>Augusta, Order Returned</t>
  </si>
  <si>
    <t>Twilight Prophet</t>
  </si>
  <si>
    <t>Vizkopa Guildmage</t>
  </si>
  <si>
    <t>Muster the Departed</t>
  </si>
  <si>
    <t>Dalkovan Packbeasts</t>
  </si>
  <si>
    <t>Clarion Spirit</t>
  </si>
  <si>
    <t>Haazda Marshal</t>
  </si>
  <si>
    <t>Sinkhole Surveyor</t>
  </si>
  <si>
    <t>Grave Venerations</t>
  </si>
  <si>
    <t>Decadent Dragon</t>
  </si>
  <si>
    <t>Chameleon, Master of Disguise</t>
  </si>
  <si>
    <t>Charismatic Conqueror</t>
  </si>
  <si>
    <t>Ulamog, the Ceaseless Hunger</t>
  </si>
  <si>
    <t>Sephiroth, Fabled SOLDIER</t>
  </si>
  <si>
    <t>Pests.xlsx</t>
  </si>
  <si>
    <t>Sapseep Forest</t>
  </si>
  <si>
    <t>Karn's Bastion</t>
  </si>
  <si>
    <t>Llanowar Wastes</t>
  </si>
  <si>
    <t>Jungle Hollow</t>
  </si>
  <si>
    <t>Golgari Rot Farm</t>
  </si>
  <si>
    <t>Illegitimate Business</t>
  </si>
  <si>
    <t>Disciple of Freyalise</t>
  </si>
  <si>
    <t>Titan's Grave</t>
  </si>
  <si>
    <t>Terrasymbiosis</t>
  </si>
  <si>
    <t>Dina, Essence Brewer</t>
  </si>
  <si>
    <t>Teacher's Pest</t>
  </si>
  <si>
    <t>Basilica Screecher</t>
  </si>
  <si>
    <t>Enduring Tenacity</t>
  </si>
  <si>
    <t>Twitching Doll</t>
  </si>
  <si>
    <t>Duskshell Crawler</t>
  </si>
  <si>
    <t>Arasta of the Endless Web</t>
  </si>
  <si>
    <t>For the Common Good</t>
  </si>
  <si>
    <t>Whip of Erebos</t>
  </si>
  <si>
    <t>Blex, Vexing Pest</t>
  </si>
  <si>
    <t>Sedgemoor Witch</t>
  </si>
  <si>
    <t>Nuisance Engine</t>
  </si>
  <si>
    <t>Pestilent Cauldron</t>
  </si>
  <si>
    <t>Overgrown Pest</t>
  </si>
  <si>
    <t>Gorma, the Gullet</t>
  </si>
  <si>
    <t>Tend the Pests</t>
  </si>
  <si>
    <t>Blight Mound</t>
  </si>
  <si>
    <t>Beledros Witherbloom</t>
  </si>
  <si>
    <t>Feral Appetite</t>
  </si>
  <si>
    <t>Ribtruss Roaster</t>
  </si>
  <si>
    <t>Moseo, Vein's New Dean</t>
  </si>
  <si>
    <t>Pest Rescuer</t>
  </si>
  <si>
    <t>Valentin, Dean of the Vein</t>
  </si>
  <si>
    <t>Containment Breach</t>
  </si>
  <si>
    <t>Pest Infestation</t>
  </si>
  <si>
    <t>Wan Shi Tong, Librarian</t>
  </si>
  <si>
    <t>Expansion // Explosion</t>
  </si>
  <si>
    <t>Zephyr Boots</t>
  </si>
  <si>
    <t>Sleight of Hand</t>
  </si>
  <si>
    <t>Volcanic Fallout</t>
  </si>
  <si>
    <t>Thunder of Unity</t>
  </si>
  <si>
    <t>Lorehold Charm</t>
  </si>
  <si>
    <t>Woodland Acolyte // Mend the Wilds</t>
  </si>
  <si>
    <t>Harsh Annotation</t>
  </si>
  <si>
    <t>Tocasia's Welcome</t>
  </si>
  <si>
    <t>Deathreap Ritual</t>
  </si>
  <si>
    <t>Eventide's Shadow</t>
  </si>
  <si>
    <t>Greed</t>
  </si>
  <si>
    <t>Basilisk Collar</t>
  </si>
  <si>
    <t>Earth Kingdom General</t>
  </si>
  <si>
    <t>Beifong's Bounty Hunters</t>
  </si>
  <si>
    <t>Professor of Zoomancy</t>
  </si>
  <si>
    <t>Wolfbat</t>
  </si>
  <si>
    <t>Blightbeetle</t>
  </si>
  <si>
    <t>Caustic Caterpillar</t>
  </si>
  <si>
    <t>Origin of Metalbending</t>
  </si>
  <si>
    <t>Vraska's Contempt</t>
  </si>
  <si>
    <t>Keranos, God of Storms</t>
  </si>
  <si>
    <t>Oji, the Exquisite Blade</t>
  </si>
  <si>
    <t>Tribal de Pestes</t>
  </si>
  <si>
    <t>Pests</t>
  </si>
  <si>
    <t>Tablet of the Guilds</t>
  </si>
  <si>
    <t>Gala Greeters</t>
  </si>
  <si>
    <t>Aetherflux Reservoir</t>
  </si>
  <si>
    <t>Cosmos Elixir</t>
  </si>
  <si>
    <t>Well of Lost Dreams</t>
  </si>
  <si>
    <t>Fanatical Offering</t>
  </si>
  <si>
    <t>Nullmage Shepherd</t>
  </si>
  <si>
    <t>Deathcap Glade</t>
  </si>
  <si>
    <t>Thrasios, Triton Hero</t>
  </si>
  <si>
    <t>Vial Smasher the Fierce</t>
  </si>
  <si>
    <t>Command Tower</t>
  </si>
  <si>
    <t>Lindblum, Industrial Regency // Mage Siege</t>
  </si>
  <si>
    <t>Omen of the Hunt</t>
  </si>
  <si>
    <t>Natural Connection</t>
  </si>
  <si>
    <t>Embrace the Paradox</t>
  </si>
  <si>
    <t>Prishe's Wanderings</t>
  </si>
  <si>
    <t>Entish Restoration</t>
  </si>
  <si>
    <t>Cultivate</t>
  </si>
  <si>
    <t>Joint Exploration</t>
  </si>
  <si>
    <t>Eureka Moment</t>
  </si>
  <si>
    <t>Cycle of Renewal</t>
  </si>
  <si>
    <t>Roiling Regrowth</t>
  </si>
  <si>
    <t>Elemental Teachings</t>
  </si>
  <si>
    <t>Growth Spiral</t>
  </si>
  <si>
    <t>An Offer you Can't Refuse</t>
  </si>
  <si>
    <t>Negate</t>
  </si>
  <si>
    <t>Counterspell</t>
  </si>
  <si>
    <t>Rewind</t>
  </si>
  <si>
    <t>Aetherize</t>
  </si>
  <si>
    <t>Jaheira's Respite</t>
  </si>
  <si>
    <t>Proctor's Gaze</t>
  </si>
  <si>
    <t>Chaos Warp</t>
  </si>
  <si>
    <t>Krosan Grip</t>
  </si>
  <si>
    <t>Mob</t>
  </si>
  <si>
    <t>Deathsprout</t>
  </si>
  <si>
    <t>Windgrace's Judgment</t>
  </si>
  <si>
    <t>Reality Shift</t>
  </si>
  <si>
    <t>Culling Ritual</t>
  </si>
  <si>
    <t>Devastation Tide</t>
  </si>
  <si>
    <t>Arboria</t>
  </si>
  <si>
    <t>Mizzix's Mastery</t>
  </si>
  <si>
    <t>Black Waltz No. 3</t>
  </si>
  <si>
    <t>Kess, Dissident Mage</t>
  </si>
  <si>
    <t>Witherbloom Apprentice</t>
  </si>
  <si>
    <t>Rashmi, Eternities Crafter</t>
  </si>
  <si>
    <t>God-Eternal Kefnet</t>
  </si>
  <si>
    <t>Akiri, Fearless Voyager</t>
  </si>
  <si>
    <t>Kazuul's Fury</t>
  </si>
  <si>
    <t>Buried Ruin</t>
  </si>
  <si>
    <t>Axgard Armory</t>
  </si>
  <si>
    <t>Battlefield Forge</t>
  </si>
  <si>
    <t>Myriad Landscape</t>
  </si>
  <si>
    <t>Legion Leadership</t>
  </si>
  <si>
    <t>Bruenor Battlehammer</t>
  </si>
  <si>
    <t>Forge Anew</t>
  </si>
  <si>
    <t>Zirda, the Dawnwaker</t>
  </si>
  <si>
    <t>Bureau Headmaster</t>
  </si>
  <si>
    <t>Bladehold War-Whip</t>
  </si>
  <si>
    <t>Puresteel Paladin</t>
  </si>
  <si>
    <t>Ardenn, Intrepid Archaeologist</t>
  </si>
  <si>
    <t>Astor, Bearer of Blades</t>
  </si>
  <si>
    <t>Brass Squire</t>
  </si>
  <si>
    <t>Auriok Steelshaper</t>
  </si>
  <si>
    <t>Open the Armory</t>
  </si>
  <si>
    <t>Armored Skyhunter</t>
  </si>
  <si>
    <t>Fighter Class</t>
  </si>
  <si>
    <t>Forging the Tyrite Sword</t>
  </si>
  <si>
    <t>Firebender Ascension</t>
  </si>
  <si>
    <t>Sram, Senior Edificer</t>
  </si>
  <si>
    <t>Leonin Shikari</t>
  </si>
  <si>
    <t>Firion, Wild Rose Warrior</t>
  </si>
  <si>
    <t>Cloudsteel Kirin</t>
  </si>
  <si>
    <t>Inventory Management</t>
  </si>
  <si>
    <t>Lion Sash</t>
  </si>
  <si>
    <t>Citizen's Crowbar</t>
  </si>
  <si>
    <t>Dispatch</t>
  </si>
  <si>
    <t>Wrath of God</t>
  </si>
  <si>
    <t>Vanquish the Horde</t>
  </si>
  <si>
    <t>Day of Judgment</t>
  </si>
  <si>
    <t>Sword of Once and Future</t>
  </si>
  <si>
    <t>Sword of Forge and Frontier</t>
  </si>
  <si>
    <t>Sword of Hearth and Home</t>
  </si>
  <si>
    <t>Sword of War and Peace</t>
  </si>
  <si>
    <t>Sword of Body and Mind</t>
  </si>
  <si>
    <t>Sword of Sinew and Steel</t>
  </si>
  <si>
    <t>Lizard Blades</t>
  </si>
  <si>
    <t>Leather Armor</t>
  </si>
  <si>
    <t>Thran Power Suit</t>
  </si>
  <si>
    <t>Dragonfire Blade</t>
  </si>
  <si>
    <t>Umezawa's Jitte</t>
  </si>
  <si>
    <t>Beamtown Beatstick</t>
  </si>
  <si>
    <t>Bitterthorn, Nissa's Animus</t>
  </si>
  <si>
    <t>Sword of the Animist</t>
  </si>
  <si>
    <t>Diamond Pick-Axe</t>
  </si>
  <si>
    <t>Goldvein Pick</t>
  </si>
  <si>
    <t>Prying Blade</t>
  </si>
  <si>
    <t>Explorer's Scope</t>
  </si>
  <si>
    <t>Alela, Artful Provocateur</t>
  </si>
  <si>
    <t>Hall of Heliod's Generosity</t>
  </si>
  <si>
    <t>Glacial Fortress</t>
  </si>
  <si>
    <t>Isolated Chapel</t>
  </si>
  <si>
    <t>Castle Ardenvale</t>
  </si>
  <si>
    <t>Duskmantle, House of Shadow</t>
  </si>
  <si>
    <t>Esper Panorama</t>
  </si>
  <si>
    <t>Calciform Pools</t>
  </si>
  <si>
    <t>Ishgard, the Holy See // Faith &amp; Grief</t>
  </si>
  <si>
    <t>Strixhaven Stadium</t>
  </si>
  <si>
    <t>Thought Vessel</t>
  </si>
  <si>
    <t>Heraldic Banner</t>
  </si>
  <si>
    <t>Rhystic Study</t>
  </si>
  <si>
    <t>Enlightened Tutor</t>
  </si>
  <si>
    <t>Tegwyll, Duke of Splendor</t>
  </si>
  <si>
    <t>Kindred Discovery</t>
  </si>
  <si>
    <t>Dark Tutelage</t>
  </si>
  <si>
    <t>Bident of Thassa</t>
  </si>
  <si>
    <t>Waterbender Ascension</t>
  </si>
  <si>
    <t>Curiosity Crafter</t>
  </si>
  <si>
    <t>Enduring Curiosity</t>
  </si>
  <si>
    <t>Smothering Tithe</t>
  </si>
  <si>
    <t>Blind Obedience</t>
  </si>
  <si>
    <t>Torpor Orb</t>
  </si>
  <si>
    <t>Mana Web</t>
  </si>
  <si>
    <t>Damping Matrix</t>
  </si>
  <si>
    <t>Rest in Peace</t>
  </si>
  <si>
    <t>Eidolon of Rhetoric</t>
  </si>
  <si>
    <t>Frozen Aether</t>
  </si>
  <si>
    <t>Martyr's Cause</t>
  </si>
  <si>
    <t>Out of Time</t>
  </si>
  <si>
    <t>Oubliette</t>
  </si>
  <si>
    <t>Aura of Silence</t>
  </si>
  <si>
    <t>Seal of Cleansing</t>
  </si>
  <si>
    <t>Gossamer Chains</t>
  </si>
  <si>
    <t>Seal of Doom</t>
  </si>
  <si>
    <t>Darksteel Mutation</t>
  </si>
  <si>
    <t>Imprisoned in the Moon</t>
  </si>
  <si>
    <t>Detention Sphere</t>
  </si>
  <si>
    <t>Grasp of Fate</t>
  </si>
  <si>
    <t>Steal Enchantment</t>
  </si>
  <si>
    <t>Scion of Oona</t>
  </si>
  <si>
    <t>Brave the Sands</t>
  </si>
  <si>
    <t>Intangible Virtue</t>
  </si>
  <si>
    <t>Archetype of Courage</t>
  </si>
  <si>
    <t>Etchings of the Chosen</t>
  </si>
  <si>
    <t>Gravitational Shift</t>
  </si>
  <si>
    <t>Radiant Destiny</t>
  </si>
  <si>
    <t>Court of Grace</t>
  </si>
  <si>
    <t>Luminarch Ascension</t>
  </si>
  <si>
    <t>Court of Vantress</t>
  </si>
  <si>
    <t>Estrid's Invocation</t>
  </si>
  <si>
    <t>Copy Enchantment</t>
  </si>
  <si>
    <t>Arcades, the Strategist</t>
  </si>
  <si>
    <t>Kabira Takedown</t>
  </si>
  <si>
    <t>Bant Panorama</t>
  </si>
  <si>
    <t>Windbrisk Heights</t>
  </si>
  <si>
    <t>Scattered Groves</t>
  </si>
  <si>
    <t>Irrigated Farmland</t>
  </si>
  <si>
    <t>Nimbus Maze</t>
  </si>
  <si>
    <t>Orla Krosana</t>
  </si>
  <si>
    <t>Saltcrusted Steppe</t>
  </si>
  <si>
    <t>Hinterland Harbor</t>
  </si>
  <si>
    <t>Yavimaya Coast</t>
  </si>
  <si>
    <t>Wall of Denial</t>
  </si>
  <si>
    <t>Tree of Redemption</t>
  </si>
  <si>
    <t>Wall of Shards</t>
  </si>
  <si>
    <t>Hover Barrier</t>
  </si>
  <si>
    <t>Ludevic's Test Subject</t>
  </si>
  <si>
    <t>Rammas Echor, Ancient Shield</t>
  </si>
  <si>
    <t>Teyo, Geometric Tactician</t>
  </si>
  <si>
    <t>Wall of Reverence</t>
  </si>
  <si>
    <t>The Pride of Hull Clade</t>
  </si>
  <si>
    <t>Drift of Phantasms</t>
  </si>
  <si>
    <t>Orator of Ojutai</t>
  </si>
  <si>
    <t>Traproot Kami</t>
  </si>
  <si>
    <t>Weathered Sentinels</t>
  </si>
  <si>
    <t>Overgrown Battlement</t>
  </si>
  <si>
    <t>Axebane Guardian</t>
  </si>
  <si>
    <t>Sunscape Familiar</t>
  </si>
  <si>
    <t>Wall of Mourning</t>
  </si>
  <si>
    <t>Teyo, the Shieldmage</t>
  </si>
  <si>
    <t>Wall of Stolen Identity</t>
  </si>
  <si>
    <t>Resolute Watchdog</t>
  </si>
  <si>
    <t>Jeskai Barricade</t>
  </si>
  <si>
    <t>Rampart Architect</t>
  </si>
  <si>
    <t>Wall of Blossoms</t>
  </si>
  <si>
    <t>Crystal Barricade</t>
  </si>
  <si>
    <t>Wall of Omens</t>
  </si>
  <si>
    <t>Shield-Wall Sentinel</t>
  </si>
  <si>
    <t>Kodama's Reach</t>
  </si>
  <si>
    <t>Nature's Lore</t>
  </si>
  <si>
    <t>Mirari's Wake</t>
  </si>
  <si>
    <t>Shared Roots</t>
  </si>
  <si>
    <t>Sylvan Caryatid</t>
  </si>
  <si>
    <t>Restricted Office // Lecture Hall</t>
  </si>
  <si>
    <t>Wave of Reckoning</t>
  </si>
  <si>
    <t>Winds of Abandon</t>
  </si>
  <si>
    <t>Ironwill Forger</t>
  </si>
  <si>
    <t>True Conviction</t>
  </si>
  <si>
    <t>Concerted Effort</t>
  </si>
  <si>
    <t>Tetsuko Umezawa, Fugitive</t>
  </si>
  <si>
    <t>Stalwart Shield-Bearers</t>
  </si>
  <si>
    <t>Endless Detour</t>
  </si>
  <si>
    <t>Generous Gift</t>
  </si>
  <si>
    <t>Swords to Plowshares</t>
  </si>
  <si>
    <t>Sokrates, Athenian Teacher</t>
  </si>
  <si>
    <t>Tamiyo, Field Researcher</t>
  </si>
  <si>
    <t>Rigo, Streetwise Mentor</t>
  </si>
  <si>
    <t>Guardian Project</t>
  </si>
  <si>
    <t>Spark Double</t>
  </si>
  <si>
    <t>Vivien, Champion of the Wilds</t>
  </si>
  <si>
    <t>Monk Gyatso</t>
  </si>
  <si>
    <t>Bedrock Tortoise</t>
  </si>
  <si>
    <t>High Alert</t>
  </si>
  <si>
    <t>Assault Formation</t>
  </si>
  <si>
    <t>Baylen, the Haymaker</t>
  </si>
  <si>
    <t>Khalni Garden</t>
  </si>
  <si>
    <t>Kher Keep</t>
  </si>
  <si>
    <t>Vitu-Ghazi, the City-Tree</t>
  </si>
  <si>
    <t>Sheltering Landscape</t>
  </si>
  <si>
    <t>Mossfire Valley</t>
  </si>
  <si>
    <t>Sungrass Prairie</t>
  </si>
  <si>
    <t>Sunscorched Divide</t>
  </si>
  <si>
    <t>Cinder Glade</t>
  </si>
  <si>
    <t>Dwarven Mine</t>
  </si>
  <si>
    <t>Gingerbread Cabin</t>
  </si>
  <si>
    <t>Many Partings</t>
  </si>
  <si>
    <t>Curse of Opulence</t>
  </si>
  <si>
    <t>Guild Artisan</t>
  </si>
  <si>
    <t>Return from the Wilds</t>
  </si>
  <si>
    <t>Impact Tremors</t>
  </si>
  <si>
    <t>Skrelv's Hive</t>
  </si>
  <si>
    <t>Sram's Expertise</t>
  </si>
  <si>
    <t>Kellan, Daring Traveler // Journey On</t>
  </si>
  <si>
    <t>Crash the Party</t>
  </si>
  <si>
    <t>Doubling Season</t>
  </si>
  <si>
    <t>Mondrak, Glory Dominus</t>
  </si>
  <si>
    <t>Master of Ceremonies</t>
  </si>
  <si>
    <t>Ghired, Mirror of the Wilds</t>
  </si>
  <si>
    <t>Academy Manufactor</t>
  </si>
  <si>
    <t>Samwise Gamgee</t>
  </si>
  <si>
    <t>Queen Allenal of Ruadach</t>
  </si>
  <si>
    <t>Peregrin Took</t>
  </si>
  <si>
    <t>Oltec Matterweaver</t>
  </si>
  <si>
    <t>Scuzzback Scrounger</t>
  </si>
  <si>
    <t>Sun Warriors</t>
  </si>
  <si>
    <t>March of the Multitudes</t>
  </si>
  <si>
    <t>Wildfire Awakener</t>
  </si>
  <si>
    <t>Farmer Cotton</t>
  </si>
  <si>
    <t>Champions from Beyond</t>
  </si>
  <si>
    <t>Rootborn Defenses</t>
  </si>
  <si>
    <t>Cabaretti Charm</t>
  </si>
  <si>
    <t>Revive the Shire</t>
  </si>
  <si>
    <t>Dazzling Theater // Prop Room</t>
  </si>
  <si>
    <t>Sundering Growth</t>
  </si>
  <si>
    <t>Nature's Claim</t>
  </si>
  <si>
    <t>Breya, Etherium Shaper</t>
  </si>
  <si>
    <t>Seat of the Synod</t>
  </si>
  <si>
    <t>Vault of Whispers</t>
  </si>
  <si>
    <t>Ancient Den</t>
  </si>
  <si>
    <t>Darksteel Citadel</t>
  </si>
  <si>
    <t>The Mycosynth Gardens</t>
  </si>
  <si>
    <t>Power Depot</t>
  </si>
  <si>
    <t>Goldmire Bridge</t>
  </si>
  <si>
    <t>Razortide Bridge</t>
  </si>
  <si>
    <t>Rustvale Bridge</t>
  </si>
  <si>
    <t>Spire of Industry</t>
  </si>
  <si>
    <t>Port of Karfell</t>
  </si>
  <si>
    <t>Shivan Reef</t>
  </si>
  <si>
    <t>Grand Architect</t>
  </si>
  <si>
    <t>Chief Engineer</t>
  </si>
  <si>
    <t>Arcum Dagsson</t>
  </si>
  <si>
    <t>Aetherworks Marvel</t>
  </si>
  <si>
    <t>Long-Range Sensor</t>
  </si>
  <si>
    <t>Katara, Bending Prodigy</t>
  </si>
  <si>
    <t>Golbez, Crystal Collector</t>
  </si>
  <si>
    <t>Spirit Water Revival</t>
  </si>
  <si>
    <t>Thopter Spy Network</t>
  </si>
  <si>
    <t>Frostcliff Siege</t>
  </si>
  <si>
    <t>Stridehangar Automaton</t>
  </si>
  <si>
    <t>Thousand Moons Smithy</t>
  </si>
  <si>
    <t>Worldwalker Helm</t>
  </si>
  <si>
    <t>Grim Hireling</t>
  </si>
  <si>
    <t>Jan Jansen, Chaos Crafter</t>
  </si>
  <si>
    <t>Urza, Lord High Artificer</t>
  </si>
  <si>
    <t>Marionette Apprentice</t>
  </si>
  <si>
    <t>Summoning Station</t>
  </si>
  <si>
    <t>Pitiless Plunderer</t>
  </si>
  <si>
    <t>Biotransference</t>
  </si>
  <si>
    <t>Nick Valentine, Private Eye</t>
  </si>
  <si>
    <t>Hangarback Walker</t>
  </si>
  <si>
    <t>Weapons Manufacturing</t>
  </si>
  <si>
    <t>Retrofitter Foundry</t>
  </si>
  <si>
    <t>Spiteful Banditry</t>
  </si>
  <si>
    <t>Abstruse Appropriation</t>
  </si>
  <si>
    <t>Thassa, Deep-Dwelling</t>
  </si>
  <si>
    <t>Soulherder</t>
  </si>
  <si>
    <t>Airbender Ascension</t>
  </si>
  <si>
    <t>Venser, the Sojourner</t>
  </si>
  <si>
    <t>Pactdoll Terror</t>
  </si>
  <si>
    <t>Lotho, Corrupt Shirriff</t>
  </si>
  <si>
    <t>Mayhem Devil</t>
  </si>
  <si>
    <t>Time Sieve</t>
  </si>
  <si>
    <t>Phyrexian Altar</t>
  </si>
  <si>
    <t>Ashnod's Altar</t>
  </si>
  <si>
    <t>Krark-Clan Ironworks</t>
  </si>
  <si>
    <t>Karlov of the Ghost Council</t>
  </si>
  <si>
    <t>Radiant Fountain</t>
  </si>
  <si>
    <t>Kabira Crossroads</t>
  </si>
  <si>
    <t>Arcane Lighthouse</t>
  </si>
  <si>
    <t>Shambling Vent</t>
  </si>
  <si>
    <t>Scoured Barrens</t>
  </si>
  <si>
    <t>Malakir Rebirth</t>
  </si>
  <si>
    <t>Memorial to Folly</t>
  </si>
  <si>
    <t>Witch's Cottage</t>
  </si>
  <si>
    <t>Tainted Field</t>
  </si>
  <si>
    <t>Adventurer's Inn</t>
  </si>
  <si>
    <t>Hidden Hideout</t>
  </si>
  <si>
    <t>Dark Confidant</t>
  </si>
  <si>
    <t>Archivist of Oghma</t>
  </si>
  <si>
    <t>Mangara, the Diplomat</t>
  </si>
  <si>
    <t>Lunar Convocation</t>
  </si>
  <si>
    <t>Call of the Ring</t>
  </si>
  <si>
    <t>Tymaret, Chosen from Death</t>
  </si>
  <si>
    <t>Ayli, Eternal Pilgrim</t>
  </si>
  <si>
    <t>Curious Farm Animals</t>
  </si>
  <si>
    <t>Hopeful Initiate</t>
  </si>
  <si>
    <t>Mother of runes</t>
  </si>
  <si>
    <t>Soul Warden</t>
  </si>
  <si>
    <t>Soul's Attendant</t>
  </si>
  <si>
    <t>Suture Priest</t>
  </si>
  <si>
    <t>Hinterland Sanctifier</t>
  </si>
  <si>
    <t>Kambal, Consul of Allocation</t>
  </si>
  <si>
    <t>Lunarch Veteran</t>
  </si>
  <si>
    <t>Guide of Souls</t>
  </si>
  <si>
    <t>Daxos, Blessed by the Sun</t>
  </si>
  <si>
    <t>Orim's Prayer</t>
  </si>
  <si>
    <t>Aunt May</t>
  </si>
  <si>
    <t>Sorin of House Markov</t>
  </si>
  <si>
    <t>Lifecreed Duo</t>
  </si>
  <si>
    <t>Haliya, Guided by Light</t>
  </si>
  <si>
    <t>Deathgreeter</t>
  </si>
  <si>
    <t>Elas il-Kor, Sadistic Pilgrim</t>
  </si>
  <si>
    <t>Ashes of the Abhorrent</t>
  </si>
  <si>
    <t>Spectrum Sentinel</t>
  </si>
  <si>
    <t>Case of the Uneaten Feast</t>
  </si>
  <si>
    <t>Speaker of the Heavens</t>
  </si>
  <si>
    <t>Vito, Thorn of the Dusk Rose</t>
  </si>
  <si>
    <t>Leech Collector</t>
  </si>
  <si>
    <t>Redemption Choir</t>
  </si>
  <si>
    <t>Phyrexian Reclamation</t>
  </si>
  <si>
    <t>Veinwitch Coven</t>
  </si>
  <si>
    <t>Sorin, Vengeful Bloodlord</t>
  </si>
  <si>
    <t>Court of Ardenvale</t>
  </si>
  <si>
    <t>Grave Researcher // Reanimate</t>
  </si>
  <si>
    <t>Lurrus of the Dream-Den</t>
  </si>
  <si>
    <t>Sun Titan</t>
  </si>
  <si>
    <t>Extraction Specialist</t>
  </si>
  <si>
    <t>Cleric Class</t>
  </si>
  <si>
    <t>Athreos, God of Passage</t>
  </si>
  <si>
    <t>K'rrik, Son of Yawgmoth</t>
  </si>
  <si>
    <t>Miara, Thorn of the Glade</t>
  </si>
  <si>
    <t>Wirewood Lodge</t>
  </si>
  <si>
    <t>Bala Ged Sanctuary</t>
  </si>
  <si>
    <t>Ancient Ziggurat</t>
  </si>
  <si>
    <t>Lotus Field</t>
  </si>
  <si>
    <t>Nykthos, Shrine to Nyx</t>
  </si>
  <si>
    <t>Breeding Pool</t>
  </si>
  <si>
    <t>Deserted Temple</t>
  </si>
  <si>
    <t>Eclipsed Realms</t>
  </si>
  <si>
    <t>Elvish Guidance</t>
  </si>
  <si>
    <t>Elvish Harbinger</t>
  </si>
  <si>
    <t>Marwyn, the Nurturer</t>
  </si>
  <si>
    <t>Elvish Archdruid</t>
  </si>
  <si>
    <t>Birchlore Rangers</t>
  </si>
  <si>
    <t>Llanowar Elves</t>
  </si>
  <si>
    <t>Priest of Titania</t>
  </si>
  <si>
    <t>Elvish Mystic</t>
  </si>
  <si>
    <t>Wirewood Channeler</t>
  </si>
  <si>
    <t>Mutable Explorer</t>
  </si>
  <si>
    <t>Devoted Druid</t>
  </si>
  <si>
    <t>Wood Elves</t>
  </si>
  <si>
    <t>Springbloom Druid</t>
  </si>
  <si>
    <t>Arbor Elf</t>
  </si>
  <si>
    <t>Beastcaller Savant</t>
  </si>
  <si>
    <t>Joraga Treespeaker</t>
  </si>
  <si>
    <t>Rishkar, Peema Renegade</t>
  </si>
  <si>
    <t>Tyvar Kell</t>
  </si>
  <si>
    <t>Jaspera Sentinel</t>
  </si>
  <si>
    <t>Gwenna, Eyes of Gaea</t>
  </si>
  <si>
    <t>Imperious Perfect</t>
  </si>
  <si>
    <t>Lys Alana Huntmaster</t>
  </si>
  <si>
    <t>Ezuri, Renegade Leader</t>
  </si>
  <si>
    <t>Ecological Appreciation</t>
  </si>
  <si>
    <t>Fauna Shaman</t>
  </si>
  <si>
    <t>Skyshroud Poacher</t>
  </si>
  <si>
    <t>Prime Speaker Vannifar</t>
  </si>
  <si>
    <t>Yisan, the Wanderer Bard</t>
  </si>
  <si>
    <t>Elvish Lyrist</t>
  </si>
  <si>
    <t>Elvish Scrapper</t>
  </si>
  <si>
    <t>Masked Vandal</t>
  </si>
  <si>
    <t>Training Grounds</t>
  </si>
  <si>
    <t>Mirage Mirror</t>
  </si>
  <si>
    <t>Marvin, Murderous Mimic</t>
  </si>
  <si>
    <t>Yeva, Nature's Herald</t>
  </si>
  <si>
    <t>Elvish Regrower</t>
  </si>
  <si>
    <t>Wellwisher</t>
  </si>
  <si>
    <t>Intruder Alarm</t>
  </si>
  <si>
    <t>Quirion Ranger</t>
  </si>
  <si>
    <t>Seeker of Skybreak</t>
  </si>
  <si>
    <t>Copperhorn Scout</t>
  </si>
  <si>
    <t>Quest for Renewal</t>
  </si>
  <si>
    <t>Retreat to Coralhelm</t>
  </si>
  <si>
    <t>Faces of the Past</t>
  </si>
  <si>
    <t>Teferi, Temporal Archmage</t>
  </si>
  <si>
    <t>Murkfiend Liege</t>
  </si>
  <si>
    <t>Dionus, Elvish Archdruid</t>
  </si>
  <si>
    <t>Wirewood Symbiote</t>
  </si>
  <si>
    <t>Nissa, Genesis Mage</t>
  </si>
  <si>
    <t>Elvish Soultiller</t>
  </si>
  <si>
    <t>Tyvar, Jubilant Brawler</t>
  </si>
  <si>
    <t>The First Sliver</t>
  </si>
  <si>
    <t>Ketria Triome</t>
  </si>
  <si>
    <t>Savai Triome</t>
  </si>
  <si>
    <t>Xander's Lounge</t>
  </si>
  <si>
    <t>Ziatora's Proving Ground</t>
  </si>
  <si>
    <t>Spara's Headquarters</t>
  </si>
  <si>
    <t>Godless Shrine</t>
  </si>
  <si>
    <t>Stomping Ground</t>
  </si>
  <si>
    <t>Temple Garden</t>
  </si>
  <si>
    <t>Sacred Foundry</t>
  </si>
  <si>
    <t>Blood Crypt</t>
  </si>
  <si>
    <t>Sliver Hive</t>
  </si>
  <si>
    <t>Flooded Strand</t>
  </si>
  <si>
    <t>Windswept Heath</t>
  </si>
  <si>
    <t>Sliver Queen</t>
  </si>
  <si>
    <t>Sliver Hivelord</t>
  </si>
  <si>
    <t>Sliver Overlord</t>
  </si>
  <si>
    <t>Sliver Legion</t>
  </si>
  <si>
    <t>Pulmonic Sliver</t>
  </si>
  <si>
    <t>Regal Sliver</t>
  </si>
  <si>
    <t>Hollowhead Sliver</t>
  </si>
  <si>
    <t>Homing Sliver</t>
  </si>
  <si>
    <t>Telekinetic Sliver</t>
  </si>
  <si>
    <t>Taunting Sliver</t>
  </si>
  <si>
    <t>Psionic Sliver</t>
  </si>
  <si>
    <t>Crystalline Sliver</t>
  </si>
  <si>
    <t>Hibernation Sliver</t>
  </si>
  <si>
    <t>Necrotic Sliver</t>
  </si>
  <si>
    <t>Dormant Sliver</t>
  </si>
  <si>
    <t>Harmonic Sliver</t>
  </si>
  <si>
    <t>Darkheart Sliver</t>
  </si>
  <si>
    <t>Constricting Sliver</t>
  </si>
  <si>
    <t>Gemhide Sliver</t>
  </si>
  <si>
    <t>Manaweft Sliver</t>
  </si>
  <si>
    <t>Root Sliver</t>
  </si>
  <si>
    <t>Basal Sliver</t>
  </si>
  <si>
    <t>Hatchery Sliver</t>
  </si>
  <si>
    <t>Dregscape Sliver</t>
  </si>
  <si>
    <t>Opaline Sliver</t>
  </si>
  <si>
    <t>Diffusion Sliver</t>
  </si>
  <si>
    <t>Ward Sliver</t>
  </si>
  <si>
    <t>Essence Sliver</t>
  </si>
  <si>
    <t>Quilled Sliver</t>
  </si>
  <si>
    <t>Bonescythe Sliver</t>
  </si>
  <si>
    <t>Venom Sliver</t>
  </si>
  <si>
    <t>Brood Sliver</t>
  </si>
  <si>
    <t>Quick Sliver</t>
  </si>
  <si>
    <t>Syphon Sliver</t>
  </si>
  <si>
    <t>Spiteful Sliver</t>
  </si>
  <si>
    <t>Magma Sliver</t>
  </si>
  <si>
    <t>Thorncaster Sliver</t>
  </si>
  <si>
    <t>Striking Sliver</t>
  </si>
  <si>
    <t>Cloudshredder Sliver</t>
  </si>
  <si>
    <t>Lavabelly Sliver</t>
  </si>
  <si>
    <t>Sentinel Sliver</t>
  </si>
  <si>
    <t>Galerider Sliver</t>
  </si>
  <si>
    <t>Winged Sliver</t>
  </si>
  <si>
    <t>Talon Sliver</t>
  </si>
  <si>
    <t>Shifting Sliver</t>
  </si>
  <si>
    <t>Heart Sliver</t>
  </si>
  <si>
    <t>Hunter Sliver</t>
  </si>
  <si>
    <t>Crypt Sliver</t>
  </si>
  <si>
    <t>Sedge Sliver</t>
  </si>
  <si>
    <t>Sinew Sliver</t>
  </si>
  <si>
    <t>Predatory Sliver</t>
  </si>
  <si>
    <t>Muscle Sliver</t>
  </si>
  <si>
    <t>Congregation at Dawn</t>
  </si>
  <si>
    <t>Eladamri's Call</t>
  </si>
  <si>
    <t>Signal the Clans</t>
  </si>
  <si>
    <t>Realmwalker</t>
  </si>
  <si>
    <t>Haunted Crossroads</t>
  </si>
  <si>
    <t>Rogues' Gallery</t>
  </si>
  <si>
    <t>Descendants' Path</t>
  </si>
  <si>
    <t>Unsettled Mariner</t>
  </si>
  <si>
    <t>Thrumming Hivepool</t>
  </si>
  <si>
    <t>The Gitrog Monster</t>
  </si>
  <si>
    <t>Argoth, Sanctum of Nature</t>
  </si>
  <si>
    <t>Crystal Vein</t>
  </si>
  <si>
    <t>Dakmor Salvage</t>
  </si>
  <si>
    <t>Strip Mine</t>
  </si>
  <si>
    <t>Blasted Landscape</t>
  </si>
  <si>
    <t>Bloodstained Mire</t>
  </si>
  <si>
    <t>Wooded Foothills</t>
  </si>
  <si>
    <t>Verdant Catacombs</t>
  </si>
  <si>
    <t>Deathrite Shaman</t>
  </si>
  <si>
    <t>Lotus Cobra</t>
  </si>
  <si>
    <t>Birds of Paradise</t>
  </si>
  <si>
    <t>Edge of Autumn</t>
  </si>
  <si>
    <t>Putrid Imp</t>
  </si>
  <si>
    <t>Lotus Petal</t>
  </si>
  <si>
    <t>Geth's Verdict</t>
  </si>
  <si>
    <t>Six</t>
  </si>
  <si>
    <t>Blessed Respite</t>
  </si>
  <si>
    <t>Conduit of Worlds</t>
  </si>
  <si>
    <t>Old Rutstein</t>
  </si>
  <si>
    <t>Sylvan Library</t>
  </si>
  <si>
    <t>Worldly Tutor</t>
  </si>
  <si>
    <t>Crop Rotation</t>
  </si>
  <si>
    <t>Invasion of Ikoria</t>
  </si>
  <si>
    <t>Demonic Tutor</t>
  </si>
  <si>
    <t>Green Sun's Zenith</t>
  </si>
  <si>
    <t>Inalla, Archmage Ritualist</t>
  </si>
  <si>
    <t>Grixis Panorama</t>
  </si>
  <si>
    <t>Unclaimed Territory</t>
  </si>
  <si>
    <t>Riptide Laboratory</t>
  </si>
  <si>
    <t>Mage-Ring Network</t>
  </si>
  <si>
    <t>Secluded Courtyard</t>
  </si>
  <si>
    <t>Sulfur Falls</t>
  </si>
  <si>
    <t>Stonybrook Banneret</t>
  </si>
  <si>
    <t>Herald's Horn</t>
  </si>
  <si>
    <t>Gathering Stone</t>
  </si>
  <si>
    <t>Shadowmage Infiltrator</t>
  </si>
  <si>
    <t>Azami, Lady of Scrolls</t>
  </si>
  <si>
    <t>Sea Gate Oracle</t>
  </si>
  <si>
    <t>Disciple of Bolas</t>
  </si>
  <si>
    <t>Merchant of Secrets</t>
  </si>
  <si>
    <t>Serum Visionary</t>
  </si>
  <si>
    <t>Watcher for Tomorrow</t>
  </si>
  <si>
    <t>Cloudkin Seer</t>
  </si>
  <si>
    <t>Trinket Mage</t>
  </si>
  <si>
    <t>Tribute Mage</t>
  </si>
  <si>
    <t>Trophy Mage</t>
  </si>
  <si>
    <t>Matterbending Mage</t>
  </si>
  <si>
    <t>Portal Mage</t>
  </si>
  <si>
    <t>Basalt Ravager</t>
  </si>
  <si>
    <t>Winter Eladrin</t>
  </si>
  <si>
    <t>Aether Channeler</t>
  </si>
  <si>
    <t>Renet, Temporal Apprentice</t>
  </si>
  <si>
    <t>Disruptor of Currents</t>
  </si>
  <si>
    <t>Barrin, Tolarian Archmage</t>
  </si>
  <si>
    <t>Rimekin Recluse</t>
  </si>
  <si>
    <t>Venser, Shaper Savant</t>
  </si>
  <si>
    <t>Sparkmage Apprentice</t>
  </si>
  <si>
    <t>Graveshifter</t>
  </si>
  <si>
    <t>Exhibition Magician</t>
  </si>
  <si>
    <t>Ruthless Technomancer</t>
  </si>
  <si>
    <t>Omni-Changeling</t>
  </si>
  <si>
    <t>Naban, Dean of Iteration</t>
  </si>
  <si>
    <t>Harmonic Prodigy</t>
  </si>
  <si>
    <t>Bloodline Necromancer</t>
  </si>
  <si>
    <t>Archaeomancer</t>
  </si>
  <si>
    <t>Dualcaster Mage</t>
  </si>
  <si>
    <t>Changeling Berserker</t>
  </si>
  <si>
    <t>Specimen Collector</t>
  </si>
  <si>
    <t>Ghostly Flicker</t>
  </si>
  <si>
    <t>Cryptic Gateway</t>
  </si>
  <si>
    <t>Industrial Advancement</t>
  </si>
  <si>
    <t>Tarrian's Journal</t>
  </si>
  <si>
    <t>Jhoira of the Ghitu</t>
  </si>
  <si>
    <t>Spinerock Knoll</t>
  </si>
  <si>
    <t>Emrakul, the Promised End</t>
  </si>
  <si>
    <t>Kozilek, Butcher of Truth</t>
  </si>
  <si>
    <t>Kozilek, the Great Distortion</t>
  </si>
  <si>
    <t>Etali, Primal Storm</t>
  </si>
  <si>
    <t>Blightsteel Colossus</t>
  </si>
  <si>
    <t>Pathrazer of Ulamog</t>
  </si>
  <si>
    <t>Void Winnower</t>
  </si>
  <si>
    <t>Jin-Gitaxias, Core Augur</t>
  </si>
  <si>
    <t>It That Betrays</t>
  </si>
  <si>
    <t>Omniscience</t>
  </si>
  <si>
    <t>Aminatou's Augury</t>
  </si>
  <si>
    <t>Obliterate</t>
  </si>
  <si>
    <t>Worldfire</t>
  </si>
  <si>
    <t>Apocalipse</t>
  </si>
  <si>
    <t>Jokulhaups</t>
  </si>
  <si>
    <t>Decree of Annihilation</t>
  </si>
  <si>
    <t>Consuming Tide</t>
  </si>
  <si>
    <t>Planetary Annihilation</t>
  </si>
  <si>
    <t>Wibbly-Wobbly, Timey-wimey</t>
  </si>
  <si>
    <t>Rift Elemental</t>
  </si>
  <si>
    <t>Fury Charm</t>
  </si>
  <si>
    <t>Clockspinning</t>
  </si>
  <si>
    <t>Timecrafting</t>
  </si>
  <si>
    <t>Jhoira's Timebug</t>
  </si>
  <si>
    <t>Counterflux</t>
  </si>
  <si>
    <t>Annul</t>
  </si>
  <si>
    <t>Echoing Truth</t>
  </si>
  <si>
    <t>Rapid Hybridization</t>
  </si>
  <si>
    <t>Mana Sculpt</t>
  </si>
  <si>
    <t>Cyber Conversion</t>
  </si>
  <si>
    <t>Pongify</t>
  </si>
  <si>
    <t>Suspend</t>
  </si>
  <si>
    <t>Delay</t>
  </si>
  <si>
    <t>Arcane Denial</t>
  </si>
  <si>
    <t>Unwind</t>
  </si>
  <si>
    <t>Crawlspace</t>
  </si>
  <si>
    <t>Solve the Equation</t>
  </si>
  <si>
    <t>Preordain</t>
  </si>
  <si>
    <t>Mystical Tutor</t>
  </si>
  <si>
    <t>Telling Time</t>
  </si>
  <si>
    <t>Academy Loremaster</t>
  </si>
  <si>
    <t>Impulse</t>
  </si>
  <si>
    <t>Portent of Calamity</t>
  </si>
  <si>
    <t>Rotating Fireplace</t>
  </si>
  <si>
    <t>Sol Talisman</t>
  </si>
  <si>
    <t>Overflowing Insight</t>
  </si>
  <si>
    <t>Arcanis the Omnipotent</t>
  </si>
  <si>
    <t>Thought Reflection</t>
  </si>
  <si>
    <t>Wheel of Fate</t>
  </si>
  <si>
    <t>Paradox Haze</t>
  </si>
  <si>
    <t>Time Beetle</t>
  </si>
  <si>
    <t>Hit the Mother Lode</t>
  </si>
  <si>
    <t>Inevitable Betrayal</t>
  </si>
  <si>
    <t>Sibylline Soothsayer</t>
  </si>
  <si>
    <t>Kadena, Slinking Sorcerer</t>
  </si>
  <si>
    <t>Zoetic Cavern</t>
  </si>
  <si>
    <t>Branch of Vitu-Ghazi</t>
  </si>
  <si>
    <t>Shrine of the Forsaken Gods</t>
  </si>
  <si>
    <t>Tomb of the Spirit Dragon</t>
  </si>
  <si>
    <t>Foreboding Landscape</t>
  </si>
  <si>
    <t>Flooded Grove</t>
  </si>
  <si>
    <t>Northampton Farm</t>
  </si>
  <si>
    <t>Sakura-Tribe Elder</t>
  </si>
  <si>
    <t>They Came from the Pipes</t>
  </si>
  <si>
    <t>Roshan, Hidden Magister</t>
  </si>
  <si>
    <t>Mystic Forge</t>
  </si>
  <si>
    <t>Secret Plans</t>
  </si>
  <si>
    <t>Grim Haruspex</t>
  </si>
  <si>
    <t>Kadena's Silencer</t>
  </si>
  <si>
    <t>Stratus Dancer</t>
  </si>
  <si>
    <t>Ainok Survivalist</t>
  </si>
  <si>
    <t>Willbender</t>
  </si>
  <si>
    <t>Nantuko Vigilante</t>
  </si>
  <si>
    <t>Chromeshell Crab</t>
  </si>
  <si>
    <t>Echo Tracer</t>
  </si>
  <si>
    <t>Icefeather Aven</t>
  </si>
  <si>
    <t>Silumgar Assassin</t>
  </si>
  <si>
    <t>Voidmage Apprentice</t>
  </si>
  <si>
    <t>Exit Specialist</t>
  </si>
  <si>
    <t>Kheru Spellsnatcher</t>
  </si>
  <si>
    <t>Bane of the Living</t>
  </si>
  <si>
    <t>Thousand Winds</t>
  </si>
  <si>
    <t>Shaper Parasite</t>
  </si>
  <si>
    <t>Den Protector</t>
  </si>
  <si>
    <t>Vesuvan Shapeshifter</t>
  </si>
  <si>
    <t>Deathmist Raptor</t>
  </si>
  <si>
    <t>Gift of Doom</t>
  </si>
  <si>
    <t>Mistfire Weaver</t>
  </si>
  <si>
    <t>Mischievous Quanar</t>
  </si>
  <si>
    <t>Etrata, Deadly Fugitive</t>
  </si>
  <si>
    <t>Whisperwood Elemental</t>
  </si>
  <si>
    <t>Ugin's Mastery</t>
  </si>
  <si>
    <t>Scroll of Fate</t>
  </si>
  <si>
    <t>Hauntwoods Shrieker</t>
  </si>
  <si>
    <t>Threats Around Every Corner</t>
  </si>
  <si>
    <t>Glaring Fleshraker</t>
  </si>
  <si>
    <t>Vannifar, Evolved Enigma</t>
  </si>
  <si>
    <t>Printlifter Ooze</t>
  </si>
  <si>
    <t>Flood of Tears</t>
  </si>
  <si>
    <t>Familiar's Ruse</t>
  </si>
  <si>
    <t>Yedora, Grave Gardener</t>
  </si>
  <si>
    <t>Panoptic Projektor</t>
  </si>
  <si>
    <t>Leyline of Anticipation</t>
  </si>
  <si>
    <t>The Blue Spirit</t>
  </si>
  <si>
    <t>Liberator, Urza's Battlethopter</t>
  </si>
  <si>
    <t>Final-Word Phantom</t>
  </si>
  <si>
    <t>Kresh the Bloodbraided</t>
  </si>
  <si>
    <t>Skarrg, the Rage Pits</t>
  </si>
  <si>
    <t>Kessig Wolf Run</t>
  </si>
  <si>
    <t>Mosswort Bridge</t>
  </si>
  <si>
    <t>Khalni Territory</t>
  </si>
  <si>
    <t>Rootbound Crag</t>
  </si>
  <si>
    <t>Farhaven Elf</t>
  </si>
  <si>
    <t>Earthbender Ascension</t>
  </si>
  <si>
    <t>Eternal Witness</t>
  </si>
  <si>
    <t>Rhythm of the Wild</t>
  </si>
  <si>
    <t>Shriekmaw</t>
  </si>
  <si>
    <t>Magus of the Abyss</t>
  </si>
  <si>
    <t>Pain for All</t>
  </si>
  <si>
    <t>Riveteers Charm</t>
  </si>
  <si>
    <t>Thrashing Brontodon</t>
  </si>
  <si>
    <t>Deadly Brew</t>
  </si>
  <si>
    <t>Plaguecrafter</t>
  </si>
  <si>
    <t>Rise of the Witch-King</t>
  </si>
  <si>
    <t>Fleshbag Marauder</t>
  </si>
  <si>
    <t>Merciless Executioner</t>
  </si>
  <si>
    <t>Accursed Marauder</t>
  </si>
  <si>
    <t>Demon's Disciple</t>
  </si>
  <si>
    <t>Soul Shatter</t>
  </si>
  <si>
    <t>Archfiend of Depravity</t>
  </si>
  <si>
    <t>Hidetsugu Consumes All</t>
  </si>
  <si>
    <t>Electric Seaweed</t>
  </si>
  <si>
    <t>Colossal Majesty</t>
  </si>
  <si>
    <t>Drumhunter</t>
  </si>
  <si>
    <t>Life's Legacy</t>
  </si>
  <si>
    <t>Mask of Griselbrand</t>
  </si>
  <si>
    <t>Morbid Opportunist</t>
  </si>
  <si>
    <t>Rancor</t>
  </si>
  <si>
    <t>Foggy Swamp Visions</t>
  </si>
  <si>
    <t>Soul's Fire</t>
  </si>
  <si>
    <t>Rite of Consumption</t>
  </si>
  <si>
    <t>Essence Harvest</t>
  </si>
  <si>
    <t>Fling</t>
  </si>
  <si>
    <t>Mind Stone</t>
  </si>
  <si>
    <t>Reconnaissance Mission</t>
  </si>
  <si>
    <t>Zurgo Stormrender</t>
  </si>
  <si>
    <t>Smoldering Marsh</t>
  </si>
  <si>
    <t>Clifftop Retreat</t>
  </si>
  <si>
    <t>Garna, Bloodfist of Keld</t>
  </si>
  <si>
    <t>Teysa, Opulent Oligarch</t>
  </si>
  <si>
    <t>Aurelia, the Law Above</t>
  </si>
  <si>
    <t>Gix, Yawgmoth Praetor</t>
  </si>
  <si>
    <t>Yawgmoth, Thran Physician</t>
  </si>
  <si>
    <t>Brazen Cannonade</t>
  </si>
  <si>
    <t>Arabella, Abandoned Doll</t>
  </si>
  <si>
    <t>Within Range</t>
  </si>
  <si>
    <t>Commissar Severina Raine</t>
  </si>
  <si>
    <t>Mishra, Claimed by Gix</t>
  </si>
  <si>
    <t>Brutal Hordechief</t>
  </si>
  <si>
    <t>Avenger of the Fallen</t>
  </si>
  <si>
    <t>Loyal Apprentice</t>
  </si>
  <si>
    <t>Venerated Stormsinger</t>
  </si>
  <si>
    <t>Kinscaer Sentry</t>
  </si>
  <si>
    <t>Zurgo, Thunder's Decree</t>
  </si>
  <si>
    <t>Oketra's Monument</t>
  </si>
  <si>
    <t>Teysa Karlov</t>
  </si>
  <si>
    <t>MacCready, Lamplight Mayor</t>
  </si>
  <si>
    <t>Phyrexian Dragon Engine</t>
  </si>
  <si>
    <t>Powerbalance</t>
  </si>
  <si>
    <t>Windcrag Siege</t>
  </si>
  <si>
    <t>Isshin, Two Heavens as One</t>
  </si>
  <si>
    <t>Kirol, Attentive First-Year</t>
  </si>
  <si>
    <t>Alesha, Who Smiles at Death</t>
  </si>
  <si>
    <t>Adept Watershaper</t>
  </si>
  <si>
    <t>Emergency Eject</t>
  </si>
  <si>
    <t>Stroke of Midnight</t>
  </si>
  <si>
    <t>Muzzio, Visionary Architect</t>
  </si>
  <si>
    <t>Foundry of the Consuls</t>
  </si>
  <si>
    <t>Halimar Depths</t>
  </si>
  <si>
    <t>Zhalfirin Void</t>
  </si>
  <si>
    <t>Academy Ruins</t>
  </si>
  <si>
    <t>Mirrex</t>
  </si>
  <si>
    <t>Archway of Innovation</t>
  </si>
  <si>
    <t>Rumble Arena</t>
  </si>
  <si>
    <t>Planar Atlas</t>
  </si>
  <si>
    <t>Sky Diamond</t>
  </si>
  <si>
    <t>Coldsteel Heart</t>
  </si>
  <si>
    <t>Basalt Monolith</t>
  </si>
  <si>
    <t>Midnight Clock</t>
  </si>
  <si>
    <t>Patriar's Seal</t>
  </si>
  <si>
    <t>Stonespeaker Crystal</t>
  </si>
  <si>
    <t>Empowered Autogenerator</t>
  </si>
  <si>
    <t>Gauntlet of Power</t>
  </si>
  <si>
    <t>Dreamstone Hedron</t>
  </si>
  <si>
    <t>Padeem, Consul of Innovation</t>
  </si>
  <si>
    <t>The Walls of Ba Sing Se</t>
  </si>
  <si>
    <t>Scion of Draco</t>
  </si>
  <si>
    <t>Argivian Restoration</t>
  </si>
  <si>
    <t>Platinum Angel</t>
  </si>
  <si>
    <t>Spellskite</t>
  </si>
  <si>
    <t>Orbs of Warding</t>
  </si>
  <si>
    <t>The Stasis Coffin</t>
  </si>
  <si>
    <t>Brainstone</t>
  </si>
  <si>
    <t>Repurposing Bay</t>
  </si>
  <si>
    <t>Meteor Golem</t>
  </si>
  <si>
    <t>Spine of Ish Sah</t>
  </si>
  <si>
    <t>Extinguisher Battleship</t>
  </si>
  <si>
    <t>Portal to Phyrexia</t>
  </si>
  <si>
    <t>Dauntless Scrapbot</t>
  </si>
  <si>
    <t>Aether Spellbomb</t>
  </si>
  <si>
    <t>All is Dust</t>
  </si>
  <si>
    <t>Trading Post</t>
  </si>
  <si>
    <t>Mycosynth Golem</t>
  </si>
  <si>
    <t>Imposter Mech</t>
  </si>
  <si>
    <t>Metalwork Colossus</t>
  </si>
  <si>
    <t>Filigree Sages</t>
  </si>
  <si>
    <t>Master Transmuter</t>
  </si>
  <si>
    <t>Darksteel Forge</t>
  </si>
  <si>
    <t>Unwinding Clock</t>
  </si>
  <si>
    <t>Elixir of Immortality</t>
  </si>
  <si>
    <t>Magewright's Stone</t>
  </si>
  <si>
    <t>Nevinyrral's Disk</t>
  </si>
  <si>
    <t>Manifold Key</t>
  </si>
  <si>
    <t>Gogo, Master of Mimicry</t>
  </si>
  <si>
    <t>Memnarch</t>
  </si>
  <si>
    <t>Voltaic Key</t>
  </si>
  <si>
    <t>Mycosynth Lattice</t>
  </si>
  <si>
    <t>Chimil, the Inner Sun</t>
  </si>
  <si>
    <t>Unstoppable Plan</t>
  </si>
  <si>
    <t>Clock of Omens</t>
  </si>
  <si>
    <t>Narset, Enlightened Exile</t>
  </si>
  <si>
    <t>Opal Palace</t>
  </si>
  <si>
    <t>Slayers' Stronghold</t>
  </si>
  <si>
    <t>Azorius Chancery</t>
  </si>
  <si>
    <t>Boros Garrison</t>
  </si>
  <si>
    <t>Izzet Boilerworks</t>
  </si>
  <si>
    <t>Faithless Looting</t>
  </si>
  <si>
    <t>Frantic Search</t>
  </si>
  <si>
    <t>Shorikai, Genesis Engine</t>
  </si>
  <si>
    <t>Mirrodin Besieged</t>
  </si>
  <si>
    <t>Windfall</t>
  </si>
  <si>
    <t>Collective Defiance</t>
  </si>
  <si>
    <t>Jace's Erasure</t>
  </si>
  <si>
    <t>Teferi's Tutelage</t>
  </si>
  <si>
    <t>Sphinx's Tutelage</t>
  </si>
  <si>
    <t>Mesmeric Orb</t>
  </si>
  <si>
    <t>Tasha's Hideous Laughter</t>
  </si>
  <si>
    <t>Ruin Crab</t>
  </si>
  <si>
    <t>Riverchurn Monument</t>
  </si>
  <si>
    <t>Mindcrank</t>
  </si>
  <si>
    <t>Mystic Redaction</t>
  </si>
  <si>
    <t>Fractured Sanity</t>
  </si>
  <si>
    <t>The Mindskinner</t>
  </si>
  <si>
    <t>Third Path Iconoclast</t>
  </si>
  <si>
    <t>Kykar, Wind's Fury</t>
  </si>
  <si>
    <t>Monastery Mentor</t>
  </si>
  <si>
    <t>Sokka, Tenacious Tactician</t>
  </si>
  <si>
    <t>Strionic Resonator</t>
  </si>
  <si>
    <t>Tormod's Crypt</t>
  </si>
  <si>
    <t>Time Wipe</t>
  </si>
  <si>
    <t>Sculpted Sunburst</t>
  </si>
  <si>
    <t>Full Throttle</t>
  </si>
  <si>
    <t>Relentless Assault</t>
  </si>
  <si>
    <t>Response // Resurgence</t>
  </si>
  <si>
    <t>The Necrobloom</t>
  </si>
  <si>
    <t>Echoing Deeps</t>
  </si>
  <si>
    <t>Thespian's Stage</t>
  </si>
  <si>
    <t>Mythos of Nethroi</t>
  </si>
  <si>
    <t>Armageddon</t>
  </si>
  <si>
    <t>Pitiless Carnage</t>
  </si>
  <si>
    <t>Thalia and The Gitrog Monster</t>
  </si>
  <si>
    <t>Elesh Norn, Grand Cenobite</t>
  </si>
  <si>
    <t>Avenger of Zendikar</t>
  </si>
  <si>
    <t>Victimize</t>
  </si>
  <si>
    <t>Animate Dead</t>
  </si>
  <si>
    <t>Auntie Ool, Cursewretch</t>
  </si>
  <si>
    <t>Grasping Dunes</t>
  </si>
  <si>
    <t>Festering Thicket</t>
  </si>
  <si>
    <t>Sheltered Thicket</t>
  </si>
  <si>
    <t>Canyon Slough</t>
  </si>
  <si>
    <t>Vernal Fen</t>
  </si>
  <si>
    <t>Nesting Grounds</t>
  </si>
  <si>
    <t>Ifnir Deadlands</t>
  </si>
  <si>
    <t>Twisted Landscape</t>
  </si>
  <si>
    <t>Ignoble Hierarch</t>
  </si>
  <si>
    <t>Channeler Initiate</t>
  </si>
  <si>
    <t>Wickersmith's Tools</t>
  </si>
  <si>
    <t>Oft-Nabbed Goat</t>
  </si>
  <si>
    <t>The Scorpion God</t>
  </si>
  <si>
    <t>Massacre Girl, Known Killer</t>
  </si>
  <si>
    <t>Sinister Gnarlbark</t>
  </si>
  <si>
    <t>Generous Patron</t>
  </si>
  <si>
    <t>Darkness Descends</t>
  </si>
  <si>
    <t>Black Sun's Zenith</t>
  </si>
  <si>
    <t>Puncture Blast</t>
  </si>
  <si>
    <t>Cinder Strike</t>
  </si>
  <si>
    <t>Cankerbloom</t>
  </si>
  <si>
    <t>Wickerbough Elder</t>
  </si>
  <si>
    <t>Serrated Biskelion</t>
  </si>
  <si>
    <t>Banewhip Punisher</t>
  </si>
  <si>
    <t>Dread Tiller</t>
  </si>
  <si>
    <t>Defiant Greatmaw</t>
  </si>
  <si>
    <t>Obelisk Spider</t>
  </si>
  <si>
    <t>Warren Torchmaster</t>
  </si>
  <si>
    <t>The Reaper, King No More</t>
  </si>
  <si>
    <t>Everlasting Torment</t>
  </si>
  <si>
    <t>Dawnhand Dissident</t>
  </si>
  <si>
    <t>Gristle Glutton</t>
  </si>
  <si>
    <t>Soul Snuffers</t>
  </si>
  <si>
    <t>Carnifex Demon</t>
  </si>
  <si>
    <t>Village Pillagers</t>
  </si>
  <si>
    <t>Contagion Clasp</t>
  </si>
  <si>
    <t>Thrull Parasite</t>
  </si>
  <si>
    <t>Evolution Witness</t>
  </si>
  <si>
    <t>Lasting Tarfire</t>
  </si>
  <si>
    <t>Fain, the Broker</t>
  </si>
  <si>
    <t>Blowfly Infestation</t>
  </si>
  <si>
    <t>Hapatra, Vizier of Poisons</t>
  </si>
  <si>
    <t>Nest of Scarabs</t>
  </si>
  <si>
    <t>Flourishing Defenses</t>
  </si>
  <si>
    <t>Kulrath Knight</t>
  </si>
  <si>
    <t>Necroskitter</t>
  </si>
  <si>
    <t>Sudden Spoiling</t>
  </si>
  <si>
    <t>Oona, Queen of the Fae</t>
  </si>
  <si>
    <t>Fetid Pools</t>
  </si>
  <si>
    <t>Hall of Tagsin</t>
  </si>
  <si>
    <t>Sunken Hollow</t>
  </si>
  <si>
    <t>Charcoal Diamond</t>
  </si>
  <si>
    <t>The Eternity Elevator</t>
  </si>
  <si>
    <t>Nyx Lotus</t>
  </si>
  <si>
    <t>Blinkmoth Urn</t>
  </si>
  <si>
    <t>White Lotus Tile</t>
  </si>
  <si>
    <t>Liliana of the Dark Realms</t>
  </si>
  <si>
    <t>Resculpt</t>
  </si>
  <si>
    <t>Terisiare's Devastation</t>
  </si>
  <si>
    <t>Stubborn Denial</t>
  </si>
  <si>
    <t>Defabricate</t>
  </si>
  <si>
    <t>Singularity Rupture</t>
  </si>
  <si>
    <t>Mirrormade</t>
  </si>
  <si>
    <t>Moonlit Meditation</t>
  </si>
  <si>
    <t>Sculpting Steel</t>
  </si>
  <si>
    <t>Clever Impersonator</t>
  </si>
  <si>
    <t>Mind Grind</t>
  </si>
  <si>
    <t>Oblivion Sower</t>
  </si>
  <si>
    <t>Notorious Throng</t>
  </si>
  <si>
    <t>Scour for Scrap</t>
  </si>
  <si>
    <t>Fabricate</t>
  </si>
  <si>
    <t>Dire Undercurrents</t>
  </si>
  <si>
    <t>Sire of Stagnation</t>
  </si>
  <si>
    <t>Ayara, First of Locthwain</t>
  </si>
  <si>
    <t>Reshape</t>
  </si>
  <si>
    <t>Othelm, Sigardian Outcast</t>
  </si>
  <si>
    <t>Wernog, Rider's Chaplain</t>
  </si>
  <si>
    <t>Grove of the Guardian</t>
  </si>
  <si>
    <t>Temple of Plenty</t>
  </si>
  <si>
    <t>Temple of Malady</t>
  </si>
  <si>
    <t>Temple of Silence</t>
  </si>
  <si>
    <t>Brigid, Clachan's Heart</t>
  </si>
  <si>
    <t>Obsessive Pursuit</t>
  </si>
  <si>
    <t>Ulvenwald Mysteries</t>
  </si>
  <si>
    <t>Elven Chorus</t>
  </si>
  <si>
    <t>Ninja Teen</t>
  </si>
  <si>
    <t>Spawning Pit</t>
  </si>
  <si>
    <t>Fanatical Devotion</t>
  </si>
  <si>
    <t>Springheart Nantuko</t>
  </si>
  <si>
    <t>Quina, Qu Gourmet</t>
  </si>
  <si>
    <t>Pawn of Ulamog</t>
  </si>
  <si>
    <t>Chatterfang, Squirrel General</t>
  </si>
  <si>
    <t>Nemata, Primeval Warden</t>
  </si>
  <si>
    <t>Thalisse, Reverent Medium</t>
  </si>
  <si>
    <t>Tendershoot Dryad</t>
  </si>
  <si>
    <t>Twilight Drover</t>
  </si>
  <si>
    <t>Wight of the Reliquary</t>
  </si>
  <si>
    <t>Drumbellower</t>
  </si>
  <si>
    <t>Promise of Aclazotz // Foul Rebirth</t>
  </si>
  <si>
    <t>Halo Fountain</t>
  </si>
  <si>
    <t>Doomed Necromancer</t>
  </si>
  <si>
    <t>Luminous Broodmoth</t>
  </si>
  <si>
    <t>Sidisi, Regent of the Mire</t>
  </si>
  <si>
    <t>Saffi Eriksdotter</t>
  </si>
  <si>
    <t>Whisper, Blood Liturgist</t>
  </si>
  <si>
    <t>Journey to Eternity</t>
  </si>
  <si>
    <t>Honest Rutstein</t>
  </si>
  <si>
    <t>Argent Dais</t>
  </si>
  <si>
    <t>Cavalier of Night</t>
  </si>
  <si>
    <t>Blech, Loafing Pest</t>
  </si>
  <si>
    <t>Swarmyard</t>
  </si>
  <si>
    <t>Vampiric Rites</t>
  </si>
  <si>
    <t>Moldervine Reclamation</t>
  </si>
  <si>
    <t>Erebos, Bleak-Hearted</t>
  </si>
  <si>
    <t>Spinner of Souls</t>
  </si>
  <si>
    <t>Arguel's Blood Fast</t>
  </si>
  <si>
    <t>Bolas's Citadel</t>
  </si>
  <si>
    <t>Soul's Majesty</t>
  </si>
  <si>
    <t>Bogwater Lumaret</t>
  </si>
  <si>
    <t>Root Manipulation</t>
  </si>
  <si>
    <t>Dina, Soul Steeper</t>
  </si>
  <si>
    <t>Winding Constrictor</t>
  </si>
  <si>
    <t>Inspiring Call</t>
  </si>
  <si>
    <t>Pestbrood Sloth</t>
  </si>
  <si>
    <t>Pest Summoning</t>
  </si>
  <si>
    <t>Send in the Pest</t>
  </si>
  <si>
    <t>Hunt for Specimens</t>
  </si>
  <si>
    <t>Pest Mascot</t>
  </si>
  <si>
    <t>Lluwen, Exchange Student</t>
  </si>
  <si>
    <t>Essenceknit Scholar</t>
  </si>
  <si>
    <t>Shopkeeper's Bane</t>
  </si>
  <si>
    <t>Putrefy</t>
  </si>
  <si>
    <t>Callous Bloodmage</t>
  </si>
  <si>
    <t>Malcolm, Keen-Eyed Navigator</t>
  </si>
  <si>
    <t>Seething Landscape</t>
  </si>
  <si>
    <t>Temple of Epiphany</t>
  </si>
  <si>
    <t>Secret Tunnel</t>
  </si>
  <si>
    <t>Treasure Map</t>
  </si>
  <si>
    <t>Coastal Piracy</t>
  </si>
  <si>
    <t>Distant Melody</t>
  </si>
  <si>
    <t>Laughing Jasper Flint</t>
  </si>
  <si>
    <t>Forerunner of the Coalition</t>
  </si>
  <si>
    <t>Rogue Class</t>
  </si>
  <si>
    <t>Malcolm, the Eyes</t>
  </si>
  <si>
    <t>Captain's Hook</t>
  </si>
  <si>
    <t>Spectral Sailor</t>
  </si>
  <si>
    <t>Spyglass Siren</t>
  </si>
  <si>
    <t>Changeling Outcast</t>
  </si>
  <si>
    <t>Siren Stormtamer</t>
  </si>
  <si>
    <t>Kitesail Freebooter</t>
  </si>
  <si>
    <t>Departed Deckhand</t>
  </si>
  <si>
    <t>Malcolm, Alluring Scoundrel</t>
  </si>
  <si>
    <t>Warkite Marauder</t>
  </si>
  <si>
    <t>Breeches, Eager Pillager</t>
  </si>
  <si>
    <t>Kitesail Larcenist</t>
  </si>
  <si>
    <t>Captain Lannery Storm</t>
  </si>
  <si>
    <t>Storm Fleet Negotiator</t>
  </si>
  <si>
    <t>Cutthroat Negotiator</t>
  </si>
  <si>
    <t>Coastline Marauders</t>
  </si>
  <si>
    <t>Admiral Beckett Brass</t>
  </si>
  <si>
    <t>Captain Vargus Wrath</t>
  </si>
  <si>
    <t>Captain Storm, Cosmium Raider</t>
  </si>
  <si>
    <t>Gemcutter Buccaneer</t>
  </si>
  <si>
    <t>Timestream Navigator</t>
  </si>
  <si>
    <t>Ramirez DePietro, Pillager</t>
  </si>
  <si>
    <t>Breeches, the Blastmaker</t>
  </si>
  <si>
    <t>Breeches, Brazen Plunderer</t>
  </si>
  <si>
    <t>Coercive Recruiter</t>
  </si>
  <si>
    <t>Lightning-Rig Crew</t>
  </si>
  <si>
    <t>Amphin Mutineer</t>
  </si>
  <si>
    <t>Weftstalker Ardent</t>
  </si>
  <si>
    <t>Reckless Fireweaver</t>
  </si>
  <si>
    <t>Xorn</t>
  </si>
  <si>
    <t>Professional Face-Breaker</t>
  </si>
  <si>
    <t>Vaan, Street Thief</t>
  </si>
  <si>
    <t>Storm the Vault</t>
  </si>
  <si>
    <t>Rain of Riches</t>
  </si>
  <si>
    <t>Revel in Riches</t>
  </si>
  <si>
    <t>Great Train Heist</t>
  </si>
  <si>
    <t>Invert Polarity</t>
  </si>
  <si>
    <t>Walk the Plank</t>
  </si>
  <si>
    <t>Go for the Throat</t>
  </si>
  <si>
    <t>Gale's Redirection</t>
  </si>
  <si>
    <t>Wild Ricochet</t>
  </si>
  <si>
    <t>Deadeye Tracker</t>
  </si>
  <si>
    <t>Shoot the Sheriff</t>
  </si>
  <si>
    <t>Hostage Taker</t>
  </si>
  <si>
    <t>Grim Backwoods</t>
  </si>
  <si>
    <t>Wild Growth</t>
  </si>
  <si>
    <t>The Weatherseed Treaty</t>
  </si>
  <si>
    <t>Song of Freyalise</t>
  </si>
  <si>
    <t>Weatherlight Compleated</t>
  </si>
  <si>
    <t>Plumb the Forbidden</t>
  </si>
  <si>
    <t>Witherbloom Charm</t>
  </si>
  <si>
    <t>Village Rites</t>
  </si>
  <si>
    <t>Fungal Plots</t>
  </si>
  <si>
    <t>Utopia Mycon</t>
  </si>
  <si>
    <t>Brightcap Badger // Fungus Frolic</t>
  </si>
  <si>
    <t>Scatter the Seeds</t>
  </si>
  <si>
    <t>Saproling Migration</t>
  </si>
  <si>
    <t>Spore Swarm</t>
  </si>
  <si>
    <t>Sprout Swarm</t>
  </si>
  <si>
    <t>Nemata, Grove Guardian</t>
  </si>
  <si>
    <t>Fungal Rebirth</t>
  </si>
  <si>
    <t>Deathspore Thallid</t>
  </si>
  <si>
    <t>Necrogenesis</t>
  </si>
  <si>
    <t>Night Soil</t>
  </si>
  <si>
    <t>Binding the Old Gods</t>
  </si>
  <si>
    <t>The Rani</t>
  </si>
  <si>
    <t>Trenzalore Clocktower</t>
  </si>
  <si>
    <t>Darkwater Catacombs</t>
  </si>
  <si>
    <t>Laser Screwdriver</t>
  </si>
  <si>
    <t>Marchesa, Dealer of Death</t>
  </si>
  <si>
    <t>Coercive Impetus</t>
  </si>
  <si>
    <t>Emberwilde Captain</t>
  </si>
  <si>
    <t>Marchesa's Decree</t>
  </si>
  <si>
    <t>Akal Pakal, First Among Equals</t>
  </si>
  <si>
    <t>Karazikar, the Eye Tyrant</t>
  </si>
  <si>
    <t>Hateful Eidolon</t>
  </si>
  <si>
    <t>Tragic Slip</t>
  </si>
  <si>
    <t>Maestros Confluence</t>
  </si>
  <si>
    <t>Red Death, Shipwrecker</t>
  </si>
  <si>
    <t>Hot Pursuit</t>
  </si>
  <si>
    <t>Bjorna, Nightfall Alchemist</t>
  </si>
  <si>
    <t>Bloodthirsty Blade</t>
  </si>
  <si>
    <t>Day of the Moon</t>
  </si>
  <si>
    <t>Eye of Nidhogg</t>
  </si>
  <si>
    <t>Laurine, the Diversion</t>
  </si>
  <si>
    <t>Kardur, Doomscourge</t>
  </si>
  <si>
    <t>Disrupt Decorum</t>
  </si>
  <si>
    <t>Vengeful Ancestor</t>
  </si>
  <si>
    <t>Renegade Silent</t>
  </si>
  <si>
    <t>Sly Instigator</t>
  </si>
  <si>
    <t>Fast Forward</t>
  </si>
  <si>
    <t>Mocking Doppelganger</t>
  </si>
  <si>
    <t>Ghoulish Impetus</t>
  </si>
  <si>
    <t>Gossip's Talent</t>
  </si>
  <si>
    <t>Sword Coast Sailor</t>
  </si>
  <si>
    <t>Erdwal Illuminator</t>
  </si>
  <si>
    <t>Agitator Ant</t>
  </si>
  <si>
    <t>Magda, the Hoardmaster</t>
  </si>
  <si>
    <t>Revenge of Ravens</t>
  </si>
  <si>
    <t>Hissing Miasma</t>
  </si>
  <si>
    <t>Grenzo, Havoc Raiser</t>
  </si>
  <si>
    <t>Martha Jones</t>
  </si>
  <si>
    <t>Rielle, the Everwise</t>
  </si>
  <si>
    <t>Lonely Sandbar</t>
  </si>
  <si>
    <t>Forgotten Cave</t>
  </si>
  <si>
    <t>Desolate Lighthouse</t>
  </si>
  <si>
    <t>Remote Isle</t>
  </si>
  <si>
    <t>Smoldering Crater</t>
  </si>
  <si>
    <t>Desert of the Mindful</t>
  </si>
  <si>
    <t>Desert of the Fervent</t>
  </si>
  <si>
    <t>Cephalid Coliseum</t>
  </si>
  <si>
    <t>The Celestus</t>
  </si>
  <si>
    <t>The Emperor of Palamecia</t>
  </si>
  <si>
    <t>Diamond Lion</t>
  </si>
  <si>
    <t>Flame Blitz</t>
  </si>
  <si>
    <t>Archmage Ascension</t>
  </si>
  <si>
    <t>Ledger Shredder</t>
  </si>
  <si>
    <t>Magmatic Insight</t>
  </si>
  <si>
    <t>Tolarian Winds</t>
  </si>
  <si>
    <t>Breakthrough</t>
  </si>
  <si>
    <t>Desperate Ravings</t>
  </si>
  <si>
    <t>Burning Inquiry</t>
  </si>
  <si>
    <t>Cathartic Reunion</t>
  </si>
  <si>
    <t>Dangerous Wager</t>
  </si>
  <si>
    <t>Thrill of Possibility</t>
  </si>
  <si>
    <t>Thirst for Meaning</t>
  </si>
  <si>
    <t>Scuttletide</t>
  </si>
  <si>
    <t>Matzalantli, the Great Door</t>
  </si>
  <si>
    <t>Tectonic Reformation</t>
  </si>
  <si>
    <t>Artist's Talent</t>
  </si>
  <si>
    <t>Academy Wall</t>
  </si>
  <si>
    <t>Collector's Vault</t>
  </si>
  <si>
    <t>Commit // Memory</t>
  </si>
  <si>
    <t>Forbid</t>
  </si>
  <si>
    <t>Rites of Refusal</t>
  </si>
  <si>
    <t>Izzet Charm</t>
  </si>
  <si>
    <t>Foil</t>
  </si>
  <si>
    <t>Glorious Gale</t>
  </si>
  <si>
    <t>Nahiri's Wrath</t>
  </si>
  <si>
    <t>Steal the Show</t>
  </si>
  <si>
    <t>Turbulent Dreams</t>
  </si>
  <si>
    <t>Divide by Zero</t>
  </si>
  <si>
    <t>Storm-Kiln Artist</t>
  </si>
  <si>
    <t>Wings of Hubris</t>
  </si>
  <si>
    <t>Key to the City</t>
  </si>
  <si>
    <t>Whispersilk Cloak</t>
  </si>
  <si>
    <t>Currency Converter</t>
  </si>
  <si>
    <t>Ominous Seas</t>
  </si>
  <si>
    <t>Surly Badgersaur</t>
  </si>
  <si>
    <t>Jodah, the Unifier</t>
  </si>
  <si>
    <t>Arcane Sanctum</t>
  </si>
  <si>
    <t>Seaside Citadel</t>
  </si>
  <si>
    <t>Jungle Shrine</t>
  </si>
  <si>
    <t>Crumbling Necropolis</t>
  </si>
  <si>
    <t>Nomad Outpost</t>
  </si>
  <si>
    <t>Mystic Monastery</t>
  </si>
  <si>
    <t>Frontier Bivouac</t>
  </si>
  <si>
    <t>Temple of Enlightenment</t>
  </si>
  <si>
    <t>Temple of Malice</t>
  </si>
  <si>
    <t>Temple of Abandon</t>
  </si>
  <si>
    <t>Temple of Triumph</t>
  </si>
  <si>
    <t>Temple of Mystery</t>
  </si>
  <si>
    <t>Crystal Quarry</t>
  </si>
  <si>
    <t>Honor-Worn Shaku</t>
  </si>
  <si>
    <t>Sorin, Grim Nemesis</t>
  </si>
  <si>
    <t>Elminster</t>
  </si>
  <si>
    <t>Ajani Unyielding</t>
  </si>
  <si>
    <t>Liliana Vess</t>
  </si>
  <si>
    <t>Jace, Unraveler of Secrets</t>
  </si>
  <si>
    <t>Tasha, the Witch Queen</t>
  </si>
  <si>
    <t>Tamiyo, the Moon Sage</t>
  </si>
  <si>
    <t>Ob Nixilis Reignited</t>
  </si>
  <si>
    <t>Dihada, Binder of Wills</t>
  </si>
  <si>
    <t>Vraska the Unseen</t>
  </si>
  <si>
    <t>Ral Zarek</t>
  </si>
  <si>
    <t>The Wanderer</t>
  </si>
  <si>
    <t>Garruk, Cursed Huntsman</t>
  </si>
  <si>
    <t>Angrath, the Flame-Chained</t>
  </si>
  <si>
    <t>Dakkon, Shadow Slayer</t>
  </si>
  <si>
    <t>Ugin, the Ineffable</t>
  </si>
  <si>
    <t>Dovin, Hand of Control</t>
  </si>
  <si>
    <t>Karn Liberated</t>
  </si>
  <si>
    <t>Wrenn and Realmbreaker</t>
  </si>
  <si>
    <t>Aminatou, the Fateshifter</t>
  </si>
  <si>
    <t>Ashiok, Dream Render</t>
  </si>
  <si>
    <t>Narset, Parter of Veils</t>
  </si>
  <si>
    <t>Sarkhan the Masterless</t>
  </si>
  <si>
    <t>Djeru, With Eyes Open</t>
  </si>
  <si>
    <t>Sisay, Weatherlight Captain</t>
  </si>
  <si>
    <t>Flux Channeler</t>
  </si>
  <si>
    <t>Carth the Lion</t>
  </si>
  <si>
    <t>Mila, Crafty Companion</t>
  </si>
  <si>
    <t>Brokers Ascendancy</t>
  </si>
  <si>
    <t>Gold-Forged Thopteryx</t>
  </si>
  <si>
    <t>Kethis, the Hidden Hand</t>
  </si>
  <si>
    <t>Oath of Chandra</t>
  </si>
  <si>
    <t>Oath of Ajani</t>
  </si>
  <si>
    <t>Oath of Nissa</t>
  </si>
  <si>
    <t>Oath of Teferi</t>
  </si>
  <si>
    <t>Oath of Gideon</t>
  </si>
  <si>
    <t>Oath of Kaya</t>
  </si>
  <si>
    <t>Gavony Township</t>
  </si>
  <si>
    <t>Llanowar Reborn</t>
  </si>
  <si>
    <t>Khalni Ambush</t>
  </si>
  <si>
    <t>Oran-Rief, the Vastwood</t>
  </si>
  <si>
    <t>Ba Sing Se</t>
  </si>
  <si>
    <t>Incubation Druid</t>
  </si>
  <si>
    <t>Gyre Sage</t>
  </si>
  <si>
    <t>Kami of Whispered Hopes</t>
  </si>
  <si>
    <t>Topiary Lecturer</t>
  </si>
  <si>
    <t>Maester Seymour</t>
  </si>
  <si>
    <t>Nils, Discipline Enforcer</t>
  </si>
  <si>
    <t>Tromell, Seymour's Butler</t>
  </si>
  <si>
    <t>Anafenza, Kin-Tree Spirit</t>
  </si>
  <si>
    <t>Michelangelo, Weirdness to 11</t>
  </si>
  <si>
    <t>Champion of Lambholt</t>
  </si>
  <si>
    <t>Warden of the Grove</t>
  </si>
  <si>
    <t>Managorger Hydra</t>
  </si>
  <si>
    <t>Shelinda, Yevon Acolyte</t>
  </si>
  <si>
    <t>Patrolling Peacemaker</t>
  </si>
  <si>
    <t>Hardened Scales</t>
  </si>
  <si>
    <t>Metastatic Evangel</t>
  </si>
  <si>
    <t>Conclave Mentor</t>
  </si>
  <si>
    <t>Branching Evolution</t>
  </si>
  <si>
    <t>Lae'zel, Vlaakith's Champion</t>
  </si>
  <si>
    <t>Basking Broodscale</t>
  </si>
  <si>
    <t>Reluctant Role Model</t>
  </si>
  <si>
    <t>Scholar of New Horizons</t>
  </si>
  <si>
    <t>Kutzil, Malamet Exemplar</t>
  </si>
  <si>
    <t>Envoy of the Ancestors</t>
  </si>
  <si>
    <t>The Duke, Rebel Sentry</t>
  </si>
  <si>
    <t>Duty Beyond Death</t>
  </si>
  <si>
    <t>Spike Feeder</t>
  </si>
  <si>
    <t>Bulwark Ox</t>
  </si>
  <si>
    <t>Zack Fair</t>
  </si>
  <si>
    <t>Summon: Ixion</t>
  </si>
  <si>
    <t>Akiri, Line-Slinger</t>
  </si>
  <si>
    <t>City of Brass</t>
  </si>
  <si>
    <t>Uthros, Titanic Godcore</t>
  </si>
  <si>
    <t>Spire Garden</t>
  </si>
  <si>
    <t>Obsidian Obelisk</t>
  </si>
  <si>
    <t>Urza, Lord Protector</t>
  </si>
  <si>
    <t>The Mightstone and Weakstone</t>
  </si>
  <si>
    <t>Hindering Light</t>
  </si>
  <si>
    <t>Silence</t>
  </si>
  <si>
    <t>Stone of Erech</t>
  </si>
  <si>
    <t>Conqueror's Flail</t>
  </si>
  <si>
    <t>Wilderness Reclamation</t>
  </si>
  <si>
    <t>Forensic Gadgeteer</t>
  </si>
  <si>
    <t>Galadriel of Lothlórien</t>
  </si>
  <si>
    <t>Meria, Scholar of Antiquity</t>
  </si>
  <si>
    <t>Matoya, Archon Elder</t>
  </si>
  <si>
    <t>Biomancer's Familiar</t>
  </si>
  <si>
    <t>Planetarium of Wan Shi Tong</t>
  </si>
  <si>
    <t>Tezzeret the Seeker</t>
  </si>
  <si>
    <t>Whir of Invention</t>
  </si>
  <si>
    <t>Muddle the Mixture</t>
  </si>
  <si>
    <t>Wargate</t>
  </si>
  <si>
    <t>Isochron Scepter</t>
  </si>
  <si>
    <t>Dramatic Reversal</t>
  </si>
  <si>
    <t>Walking Ballista</t>
  </si>
  <si>
    <t>Encroaching Mycosynth</t>
  </si>
  <si>
    <t>Toph, the First Metalbender</t>
  </si>
  <si>
    <t>Thornglint Bridge</t>
  </si>
  <si>
    <t>Slagwoods Bridge</t>
  </si>
  <si>
    <t>The Gold Saucer</t>
  </si>
  <si>
    <t>Urborg, Tomb of Yawgmoth</t>
  </si>
  <si>
    <t>Yavimaya, Cradle of Growth</t>
  </si>
  <si>
    <t>Phyrexia's Core</t>
  </si>
  <si>
    <t>Monumental Henge</t>
  </si>
  <si>
    <t>Bretagard Stronghold</t>
  </si>
  <si>
    <t>Marketback Walker</t>
  </si>
  <si>
    <t>Dyadrine, Synthesis Amalgam</t>
  </si>
  <si>
    <t>Tannuk, Memorial Ensign</t>
  </si>
  <si>
    <t>Survey Mechan</t>
  </si>
  <si>
    <t>Voyager Staff</t>
  </si>
  <si>
    <t>Terra Eternal</t>
  </si>
  <si>
    <t>Tomik, Distinguished Advokist</t>
  </si>
  <si>
    <t>Puca's Covenant</t>
  </si>
  <si>
    <t>Arcbound Ravager</t>
  </si>
  <si>
    <t>Arcbound Shikari</t>
  </si>
  <si>
    <t>Arcbound Crusher</t>
  </si>
  <si>
    <t>Arcbound Mouser</t>
  </si>
  <si>
    <t>Arcbound Javelineer</t>
  </si>
  <si>
    <t>Arcbound Tracker</t>
  </si>
  <si>
    <t>Arcbound Reclaimer</t>
  </si>
  <si>
    <t>Arcbound Stinger</t>
  </si>
  <si>
    <t>Arcbound Whelp</t>
  </si>
  <si>
    <t>Scrapyard Recombiner</t>
  </si>
  <si>
    <t>Blaster, Combat DJ</t>
  </si>
  <si>
    <t>Zabaz, the Glimmerwasp</t>
  </si>
  <si>
    <t>Gonti's Aether Heart</t>
  </si>
  <si>
    <t>Iron Spider, Stark Upgrade</t>
  </si>
  <si>
    <t>Throne of Geth</t>
  </si>
  <si>
    <t>Costume Closet</t>
  </si>
  <si>
    <t>Ozolith, the Shattered Spire</t>
  </si>
  <si>
    <t>Steel Overseer</t>
  </si>
  <si>
    <t>Surge Conductor</t>
  </si>
  <si>
    <t>The Ozolith</t>
  </si>
  <si>
    <t>Toph, Hardheaded Teacher</t>
  </si>
  <si>
    <t>Evolution Sage</t>
  </si>
  <si>
    <t>Ragost, Deft Gastronaut</t>
  </si>
  <si>
    <t>Staff of Compleation</t>
  </si>
  <si>
    <t>Scrap Welder</t>
  </si>
  <si>
    <t>Culling Dais</t>
  </si>
  <si>
    <t>Elsewhere Flask</t>
  </si>
  <si>
    <t>Annie Joins Up</t>
  </si>
  <si>
    <t>Peter Parker's Camera</t>
  </si>
  <si>
    <t>Ishai, Ojutai Dragonspeaker</t>
  </si>
  <si>
    <t>Marsh Flats</t>
  </si>
  <si>
    <t>Scalding Tarn</t>
  </si>
  <si>
    <t>Training Center</t>
  </si>
  <si>
    <t>Sea of Clouds</t>
  </si>
  <si>
    <t>Ondu Inversion</t>
  </si>
  <si>
    <t>Dig Through Time</t>
  </si>
  <si>
    <t>Treasure Cruise</t>
  </si>
  <si>
    <t>Ever-Watching Threshold</t>
  </si>
  <si>
    <t>Blood for the Blood God!</t>
  </si>
  <si>
    <t>Sygg, River Cutthroat</t>
  </si>
  <si>
    <t>Tandem Lookout</t>
  </si>
  <si>
    <t>Sphinx's Revelation</t>
  </si>
  <si>
    <t>Crackling Doom</t>
  </si>
  <si>
    <t>Void Rend</t>
  </si>
  <si>
    <t>Inevitable Defeat</t>
  </si>
  <si>
    <t>Murderous Cut</t>
  </si>
  <si>
    <t>Terminus</t>
  </si>
  <si>
    <t>Promise of Loyalty</t>
  </si>
  <si>
    <t>Chronomantic Escape</t>
  </si>
  <si>
    <t>Comeuppance</t>
  </si>
  <si>
    <t>Deflecting Palm</t>
  </si>
  <si>
    <t>Mandate of Peace</t>
  </si>
  <si>
    <t>Prismatic Strands</t>
  </si>
  <si>
    <t>Take the Bait</t>
  </si>
  <si>
    <t>Dawn Charm</t>
  </si>
  <si>
    <t>Batwing Brume</t>
  </si>
  <si>
    <t>Riot Control</t>
  </si>
  <si>
    <t>Settle the Wreckage</t>
  </si>
  <si>
    <t>Pain Magnification</t>
  </si>
  <si>
    <t>Bloodchief Ascension</t>
  </si>
  <si>
    <t>Ojer Pakpatiq, Deepest Epoch</t>
  </si>
  <si>
    <t>Yorion, Sky Nomad</t>
  </si>
  <si>
    <t>Claim Jumper</t>
  </si>
  <si>
    <t>Candlekeep Sage</t>
  </si>
  <si>
    <t>Anticasual Vestige</t>
  </si>
  <si>
    <t>Restoration Angel</t>
  </si>
  <si>
    <t>Flickerwisp</t>
  </si>
  <si>
    <t>Mirror of Life Trapping</t>
  </si>
  <si>
    <t>Lae'zel's Acrobatics</t>
  </si>
  <si>
    <t>Skycoach Conductor // All Aboard</t>
  </si>
  <si>
    <t>Eerie Interlude</t>
  </si>
  <si>
    <t>Salvation Swan</t>
  </si>
  <si>
    <t>Ghostway</t>
  </si>
  <si>
    <t>Mirrormind Crown</t>
  </si>
  <si>
    <t>Preston, the Vanisher</t>
  </si>
  <si>
    <t>Teleportation Circle</t>
  </si>
  <si>
    <t>Yuriko, the Tiger's Shadow</t>
  </si>
  <si>
    <t>Castle Vantress</t>
  </si>
  <si>
    <t>Zof Bloodbog</t>
  </si>
  <si>
    <t>Tolaria West</t>
  </si>
  <si>
    <t>Turtle Lair</t>
  </si>
  <si>
    <t>Escape Tunnel</t>
  </si>
  <si>
    <t>Scheming Symmetry</t>
  </si>
  <si>
    <t>Varragoth, Bloodsky Sire</t>
  </si>
  <si>
    <t>Protection Racket</t>
  </si>
  <si>
    <t>Personal Tutor</t>
  </si>
  <si>
    <t>Slither Blade</t>
  </si>
  <si>
    <t>Dream Beavers</t>
  </si>
  <si>
    <t>Mausoleum Wanderer</t>
  </si>
  <si>
    <t>Tormented Soul</t>
  </si>
  <si>
    <t>Silent Hallcreeper</t>
  </si>
  <si>
    <t>Gingerbrute</t>
  </si>
  <si>
    <t>Ingenious Prodigy</t>
  </si>
  <si>
    <t>Thousand-Faced Shadow</t>
  </si>
  <si>
    <t>Mothdust Changeling</t>
  </si>
  <si>
    <t>Faerie Seer</t>
  </si>
  <si>
    <t>Thieves' Tools</t>
  </si>
  <si>
    <t>Foot Chopper</t>
  </si>
  <si>
    <t>Wingcrafter</t>
  </si>
  <si>
    <t>Psychic Paper</t>
  </si>
  <si>
    <t>Inundate</t>
  </si>
  <si>
    <t>Coastal Breach</t>
  </si>
  <si>
    <t>Crush of Tentacles</t>
  </si>
  <si>
    <t>Mystic Reflection</t>
  </si>
  <si>
    <t>Spark Harvest</t>
  </si>
  <si>
    <t>Bone Shards</t>
  </si>
  <si>
    <t>Abjure</t>
  </si>
  <si>
    <t>Temporal Mastery</t>
  </si>
  <si>
    <t>Time Warp</t>
  </si>
  <si>
    <t>Walk the Aeons</t>
  </si>
  <si>
    <t>Leyline of Transformation</t>
  </si>
  <si>
    <t>Conspiracy</t>
  </si>
  <si>
    <t>Maskwood Nexus</t>
  </si>
  <si>
    <t>Arcane Adaptation</t>
  </si>
  <si>
    <t>Vile Consumption</t>
  </si>
  <si>
    <t>Prosperous Thief</t>
  </si>
  <si>
    <t>Nashi, Moon Sage's Scion</t>
  </si>
  <si>
    <t>Parker Luck</t>
  </si>
  <si>
    <t>Thassa, God of the Sea</t>
  </si>
  <si>
    <t>Sensei's Divining Top</t>
  </si>
  <si>
    <t>Amoeboid Changeling</t>
  </si>
  <si>
    <t>Scroll Rack</t>
  </si>
  <si>
    <t>Zedruu the Greathearted</t>
  </si>
  <si>
    <t>Discerning Financier</t>
  </si>
  <si>
    <t>Treasure Nabber</t>
  </si>
  <si>
    <t>Pact of Negation</t>
  </si>
  <si>
    <t>Chained to the Rocks</t>
  </si>
  <si>
    <t>One with the Stars</t>
  </si>
  <si>
    <t>Swift Reconfiguration</t>
  </si>
  <si>
    <t>Hithlain Rope</t>
  </si>
  <si>
    <t>Role Reversal</t>
  </si>
  <si>
    <t>Volatile Stormdrake</t>
  </si>
  <si>
    <t>Yes Man, Personal Securitron</t>
  </si>
  <si>
    <t>Stiltzkin, Moogle Merchant</t>
  </si>
  <si>
    <t>Iroh, Tea Master</t>
  </si>
  <si>
    <t>Coveted Falcon</t>
  </si>
  <si>
    <t>Reins of Power</t>
  </si>
  <si>
    <t>Words of War</t>
  </si>
  <si>
    <t>Descent into Avernus</t>
  </si>
  <si>
    <t>Hive Mind</t>
  </si>
  <si>
    <t>Shared Fate</t>
  </si>
  <si>
    <t>Possibility Storm</t>
  </si>
  <si>
    <t>Conjured Currency</t>
  </si>
  <si>
    <t>Share the Spoils</t>
  </si>
  <si>
    <t>Knowledge Pool</t>
  </si>
  <si>
    <t>Perplexing Chimera</t>
  </si>
  <si>
    <t>Puca's Mischief</t>
  </si>
  <si>
    <t>Custody Battle</t>
  </si>
  <si>
    <t>Confusion in the Ranks</t>
  </si>
  <si>
    <t>Manabarbs</t>
  </si>
  <si>
    <t>Diplomatic Immunity</t>
  </si>
  <si>
    <t>Solitary Confinement</t>
  </si>
  <si>
    <t>Aether Flash</t>
  </si>
  <si>
    <t>Lightmine Field</t>
  </si>
  <si>
    <t>Divine Presence</t>
  </si>
  <si>
    <t>Pramikon, Sky Rampart</t>
  </si>
  <si>
    <t>The Second Doctor</t>
  </si>
  <si>
    <t>Venser's Journal</t>
  </si>
  <si>
    <t>Alhammarret's Archive</t>
  </si>
  <si>
    <t>Zimone and Dina</t>
  </si>
  <si>
    <t>Simic Growth Chamber</t>
  </si>
  <si>
    <t>Dimir Aqueduct</t>
  </si>
  <si>
    <t>Scrawling Crawler</t>
  </si>
  <si>
    <t>Mosswood Dreadknight // Dread Whispers</t>
  </si>
  <si>
    <t>Emrakul's Messenger</t>
  </si>
  <si>
    <t>Minn, Wily Illusionist</t>
  </si>
  <si>
    <t>Ophiomancer</t>
  </si>
  <si>
    <t>Zimone, Mystery Unraveler</t>
  </si>
  <si>
    <t>Bloodghast</t>
  </si>
  <si>
    <t>Reassembling Skeleton</t>
  </si>
  <si>
    <t>Retreat to Hagra</t>
  </si>
  <si>
    <t>Amulet of Vigor</t>
  </si>
  <si>
    <t>Horizon Explorer</t>
  </si>
  <si>
    <t>Freestrider Lookout</t>
  </si>
  <si>
    <t>Ashaya, Soul of the Wild</t>
  </si>
  <si>
    <t>Dictate of Erebos</t>
  </si>
  <si>
    <t>Sothera, the Supervoid</t>
  </si>
  <si>
    <t>Deprive</t>
  </si>
  <si>
    <t>Sultai Charm</t>
  </si>
  <si>
    <t>Kiora's Follower</t>
  </si>
  <si>
    <t>Scryb Ranger</t>
  </si>
  <si>
    <t>Fire Lord Zuko</t>
  </si>
  <si>
    <t>Mistveil Plains</t>
  </si>
  <si>
    <t>Cori Mountain Monastery</t>
  </si>
  <si>
    <t>Cathedral of War</t>
  </si>
  <si>
    <t>Arch of Orazca</t>
  </si>
  <si>
    <t>Sejiri Shelter</t>
  </si>
  <si>
    <t>Bonders' Enclave</t>
  </si>
  <si>
    <t>Labyrinth of Skophos</t>
  </si>
  <si>
    <t>Forum of Amity</t>
  </si>
  <si>
    <t>Fields of Strife</t>
  </si>
  <si>
    <t>Lord Jyscal Guado</t>
  </si>
  <si>
    <t>Xantcha, Sleeper Agent</t>
  </si>
  <si>
    <t>Wojek Investigator</t>
  </si>
  <si>
    <t>Sophina, Spearsage Deserter</t>
  </si>
  <si>
    <t>Thorough Investigation</t>
  </si>
  <si>
    <t>Merchant of Truth</t>
  </si>
  <si>
    <t>Search the Premises</t>
  </si>
  <si>
    <t>Horizon Stone</t>
  </si>
  <si>
    <t>Ashling, Flame Dancer</t>
  </si>
  <si>
    <t>Electro, Assaulting Battery</t>
  </si>
  <si>
    <t>Ozai, the Phoenix King</t>
  </si>
  <si>
    <t>Leyline Tyrant</t>
  </si>
  <si>
    <t>The Last Agni Kai</t>
  </si>
  <si>
    <t>Suspend Aggression</t>
  </si>
  <si>
    <t>Enter the Avatar State</t>
  </si>
  <si>
    <t>Single Combat</t>
  </si>
  <si>
    <t>Bre of Clan Stoutarm</t>
  </si>
  <si>
    <t>Sunforger</t>
  </si>
  <si>
    <t>Norin the Wary</t>
  </si>
  <si>
    <t>Chaos Wand</t>
  </si>
  <si>
    <t>Wand of Wonder</t>
  </si>
  <si>
    <t>Zuko's Conviction</t>
  </si>
  <si>
    <t>Obsidian Fireheart</t>
  </si>
  <si>
    <t>Eight-and-a-Half-Tails</t>
  </si>
  <si>
    <t>Dream Devourer</t>
  </si>
  <si>
    <t>Goro-Goro, Disciple of Ryusei</t>
  </si>
  <si>
    <t>Pia Nalaar, Consul of Revival</t>
  </si>
  <si>
    <t>Theater of Horrors</t>
  </si>
  <si>
    <t>Dragonhawk, Fate's Tempest</t>
  </si>
  <si>
    <t>Inti, Seneschal of the Sun</t>
  </si>
  <si>
    <t>Commune with Lava</t>
  </si>
  <si>
    <t>Tavern Brawler</t>
  </si>
  <si>
    <t>Rose, Cutthroat Raider</t>
  </si>
  <si>
    <t>Awakening Zone</t>
  </si>
  <si>
    <t>Guardian of Faith</t>
  </si>
  <si>
    <t>Perplexing Test</t>
  </si>
  <si>
    <t>Prismari Command</t>
  </si>
  <si>
    <t>Shineshadow Snarl</t>
  </si>
  <si>
    <t>Mind's Dilation</t>
  </si>
  <si>
    <t>Surrak, Elusive Hunter</t>
  </si>
  <si>
    <t>Ark of Hunger</t>
  </si>
  <si>
    <t>Return the Favor</t>
  </si>
  <si>
    <t>Grim Affliction</t>
  </si>
  <si>
    <t>Stormcarved Coast</t>
  </si>
  <si>
    <t>Artificer of Curiosity</t>
  </si>
  <si>
    <t>Skyknight Vanguard</t>
  </si>
  <si>
    <t>Captain's Claws</t>
  </si>
  <si>
    <t>Ultimate Price</t>
  </si>
  <si>
    <t>June, Bounty Hunter</t>
  </si>
  <si>
    <t>Reaper's Talisman</t>
  </si>
  <si>
    <t>End-Raze Forerunners</t>
  </si>
  <si>
    <t>Arcbound Slith</t>
  </si>
  <si>
    <t>Arabella.xlsx</t>
  </si>
  <si>
    <t>Anticipate</t>
  </si>
  <si>
    <t>Shattered Sanctum</t>
  </si>
  <si>
    <t>Dusk Urchins</t>
  </si>
  <si>
    <t>Jiang Yanggu, Wildcrafter</t>
  </si>
  <si>
    <t>Wildgrowth Archaic</t>
  </si>
  <si>
    <t>Resonating Lute</t>
  </si>
  <si>
    <t>Nita, Forum Conciliator</t>
  </si>
  <si>
    <t>Staff of the Storyteller</t>
  </si>
  <si>
    <t>Faerie Mastermind</t>
  </si>
  <si>
    <t>Eiganjo Dynastorian // Replenish</t>
  </si>
  <si>
    <t>Alpine Meadow</t>
  </si>
  <si>
    <t>Sacred Peaks</t>
  </si>
  <si>
    <t>Boros Guildgate</t>
  </si>
  <si>
    <t>Raucous Carnival</t>
  </si>
  <si>
    <t>Abraded Bluffs</t>
  </si>
  <si>
    <t>Dimension X</t>
  </si>
  <si>
    <t>Wind-Scarred Crag</t>
  </si>
  <si>
    <t>Secluded Steppe</t>
  </si>
  <si>
    <t>Pristine Talisman</t>
  </si>
  <si>
    <t>Iron Myr</t>
  </si>
  <si>
    <t>Gold Myr</t>
  </si>
  <si>
    <t>Ornithopter of Paradise</t>
  </si>
  <si>
    <t>Grab the Prize</t>
  </si>
  <si>
    <t>Demand Answers</t>
  </si>
  <si>
    <t>Glimpse the Impossible</t>
  </si>
  <si>
    <t>Quarrel's End</t>
  </si>
  <si>
    <t>Wrenn's Resolve</t>
  </si>
  <si>
    <t>Pursue the Past</t>
  </si>
  <si>
    <t>Thrilling Discovery</t>
  </si>
  <si>
    <t>Big Score</t>
  </si>
  <si>
    <t>Tormenting Voice</t>
  </si>
  <si>
    <t>Molten Gatekeeper</t>
  </si>
  <si>
    <t>Raid Bombardment</t>
  </si>
  <si>
    <t>Witty Roastmaster</t>
  </si>
  <si>
    <t>Dragon Fodder</t>
  </si>
  <si>
    <t>Krenko's Command</t>
  </si>
  <si>
    <t>Hordeling Outburst</t>
  </si>
  <si>
    <t>Charge of the Mites</t>
  </si>
  <si>
    <t>Rally at the Hornburg</t>
  </si>
  <si>
    <t>Battle Screech</t>
  </si>
  <si>
    <t>Forbidden Friendship</t>
  </si>
  <si>
    <t>Gather the Townsfolk</t>
  </si>
  <si>
    <t>Goblin Instigator</t>
  </si>
  <si>
    <t>Triplicate Spirits</t>
  </si>
  <si>
    <t>Mogg War Marshal</t>
  </si>
  <si>
    <t>Goblin Surprise</t>
  </si>
  <si>
    <t>Ral's Reinforcements</t>
  </si>
  <si>
    <t>Clowning Around</t>
  </si>
  <si>
    <t>Carrot Cake</t>
  </si>
  <si>
    <t>Wyrm's Crossing Patrol</t>
  </si>
  <si>
    <t>Captain's Call</t>
  </si>
  <si>
    <t>You're Confronted by Robbers</t>
  </si>
  <si>
    <t>Omen of the Sun</t>
  </si>
  <si>
    <t>Genasi Enforcers</t>
  </si>
  <si>
    <t>Ragged Playmate</t>
  </si>
  <si>
    <t>Goblin Tunneler</t>
  </si>
  <si>
    <t>Pathmaker Initiate</t>
  </si>
  <si>
    <t>Goblin Smuggler</t>
  </si>
  <si>
    <t>Celestial Unicorn</t>
  </si>
  <si>
    <t>Rally the Peasants</t>
  </si>
  <si>
    <t>Alabaster Mage</t>
  </si>
  <si>
    <t>Loran's Escape</t>
  </si>
  <si>
    <t>Kami of False Hope</t>
  </si>
  <si>
    <t>Take Up the Shield</t>
  </si>
  <si>
    <t>Your Temple Is Under Attack</t>
  </si>
  <si>
    <t>Blacksmith's Skill</t>
  </si>
  <si>
    <t>Thraben Charm</t>
  </si>
  <si>
    <t>Trapped in the Screen</t>
  </si>
  <si>
    <t>Divine Offering</t>
  </si>
  <si>
    <t>Chrome Companion</t>
  </si>
  <si>
    <t>Improvisation Capstone</t>
  </si>
  <si>
    <t>Benevolent Hydra</t>
  </si>
  <si>
    <t>Decorum Dissertation</t>
  </si>
  <si>
    <t>Inkshield</t>
  </si>
  <si>
    <t>The Brother's Wars 1</t>
  </si>
  <si>
    <t>The Brother's Wars 2</t>
  </si>
  <si>
    <t>TMNT</t>
  </si>
  <si>
    <t>Love Your LGS</t>
  </si>
  <si>
    <t>Warhammer 1</t>
  </si>
  <si>
    <t>Warhammer 2</t>
  </si>
  <si>
    <t>MH3 Snow</t>
  </si>
  <si>
    <t>Oath 1</t>
  </si>
  <si>
    <t>Oath 2</t>
  </si>
  <si>
    <t>Phyrexia One Lands</t>
  </si>
  <si>
    <t>Phyrexia One Symbols</t>
  </si>
  <si>
    <t>Phyrexia One Black</t>
  </si>
  <si>
    <t>Double Masters VIP 1</t>
  </si>
  <si>
    <t>Double Masters VIP 2</t>
  </si>
  <si>
    <t>Lightning Storm</t>
  </si>
  <si>
    <t>Eccentric Pestfinder // Turn Stones</t>
  </si>
  <si>
    <t>Fountainport</t>
  </si>
  <si>
    <t>Dreadhorde Invasion</t>
  </si>
  <si>
    <t>Obscura Stroyfront</t>
  </si>
  <si>
    <t>Scout's Warning</t>
  </si>
  <si>
    <t>Emerge Unschated</t>
  </si>
  <si>
    <t>Aranã, Heart of the Spider</t>
  </si>
  <si>
    <t>Iridescent Vinelasher</t>
  </si>
  <si>
    <t>Vicious Rivalry</t>
  </si>
  <si>
    <t>Blasting Station</t>
  </si>
  <si>
    <t>Forbidden Orchard</t>
  </si>
  <si>
    <t>Flusterstorm</t>
  </si>
  <si>
    <t>Ethereal Haze</t>
  </si>
  <si>
    <t>Quandrix, the Proof</t>
  </si>
  <si>
    <t>Shattered Scantum</t>
  </si>
  <si>
    <t>Flagstones of Trokair</t>
  </si>
  <si>
    <t>Arabella</t>
  </si>
  <si>
    <t>PauperEDH Aggro</t>
  </si>
  <si>
    <t>Controle Voltron x1</t>
  </si>
  <si>
    <t>Raise the Alarm</t>
  </si>
  <si>
    <t>Decommission</t>
  </si>
  <si>
    <t>Cursebreak</t>
  </si>
  <si>
    <t>Majestic Auricorn</t>
  </si>
  <si>
    <t>Porcuparrot</t>
  </si>
  <si>
    <t>Everquill Phoenix</t>
  </si>
  <si>
    <t>Cloudpiercer</t>
  </si>
  <si>
    <t>Thor, God of Thunder</t>
  </si>
  <si>
    <t>The Frightful Four</t>
  </si>
  <si>
    <t>Avenge</t>
  </si>
  <si>
    <t>Black Market Connections</t>
  </si>
  <si>
    <t>Captain America's Shield</t>
  </si>
  <si>
    <t>The Unbeatable Squirrel Girl</t>
  </si>
  <si>
    <t>Endless Sands</t>
  </si>
  <si>
    <t>The Mind Stone</t>
  </si>
  <si>
    <t>Elegy Acolyte</t>
  </si>
  <si>
    <t>Scavenger's Talent</t>
  </si>
  <si>
    <t>Genesis Chamber</t>
  </si>
  <si>
    <t>Kingpin, Wilson Fisk</t>
  </si>
  <si>
    <t>Scientist Supreme of A.I.M.</t>
  </si>
  <si>
    <t>Fisk Tower</t>
  </si>
  <si>
    <t>Shang-Chi, Master of Kung Fu</t>
  </si>
  <si>
    <t>Fight for the Throne</t>
  </si>
  <si>
    <t>Ares, God of War</t>
  </si>
  <si>
    <t>Arnyn, Deathbloom Botanist</t>
  </si>
  <si>
    <t>Arc Reactor</t>
  </si>
  <si>
    <t>Machine God's Effigy</t>
  </si>
  <si>
    <t>Shuri's Fabricator</t>
  </si>
  <si>
    <t>Surveillance Room</t>
  </si>
  <si>
    <t>Cosmic Cube</t>
  </si>
  <si>
    <t>Multiversal Recruitment</t>
  </si>
  <si>
    <t>Wanda's Vision</t>
  </si>
  <si>
    <t>Doom's Time Platform</t>
  </si>
  <si>
    <t>Mole Man, Moloid Master</t>
  </si>
  <si>
    <t>Ruin Ghost</t>
  </si>
  <si>
    <t>Mister Hyde, Monster Within</t>
  </si>
  <si>
    <t>Shuri, Wakandan Inventor</t>
  </si>
  <si>
    <t>Tippy-Toe, Terrific Partner</t>
  </si>
  <si>
    <t>Subterranean Cavern</t>
  </si>
  <si>
    <t>Hawkeye's Bow</t>
  </si>
  <si>
    <t>Loki, God of Mischief</t>
  </si>
  <si>
    <t>Puppet Master, String Puller</t>
  </si>
  <si>
    <t>Kang Dynasty</t>
  </si>
  <si>
    <t>Heaven Sent</t>
  </si>
  <si>
    <t>Archnemesis</t>
  </si>
  <si>
    <t>Origin of Thor</t>
  </si>
  <si>
    <t>Medicine Bag</t>
  </si>
  <si>
    <t>Spider-Man, New Champion</t>
  </si>
  <si>
    <t>Millikin</t>
  </si>
  <si>
    <t>Sunken Citadel</t>
  </si>
  <si>
    <t>Coin of Mastery</t>
  </si>
  <si>
    <t>Hourglass of the Lost</t>
  </si>
  <si>
    <t>Blossoming Tortoise</t>
  </si>
  <si>
    <t>Vivi's Persistence</t>
  </si>
  <si>
    <t>Quantum Entanglement</t>
  </si>
  <si>
    <t>Loki, Lord of Misrule</t>
  </si>
  <si>
    <t>Construct a Cosmic Cube</t>
  </si>
  <si>
    <t>Agent 13, Sharon Carter</t>
  </si>
  <si>
    <t>Anzrag's Rampage</t>
  </si>
  <si>
    <t>Nico Minoru, Runaway</t>
  </si>
  <si>
    <t>Tolls of War</t>
  </si>
  <si>
    <t>Fatespinner</t>
  </si>
  <si>
    <t>Basilica Guards</t>
  </si>
  <si>
    <t>Monument to Endurance</t>
  </si>
  <si>
    <t>Larval Scoutlander</t>
  </si>
  <si>
    <t>Solemn Simulacrum</t>
  </si>
  <si>
    <t>Marvel Super Heroes 1</t>
  </si>
  <si>
    <t>Marvel Super Heroes 2</t>
  </si>
  <si>
    <t>Quarteirão Fantasma</t>
  </si>
  <si>
    <t>Campo de Demolição</t>
  </si>
  <si>
    <t>Azorius Charm</t>
  </si>
  <si>
    <t>Oujutai's Command</t>
  </si>
  <si>
    <t>Alela, Cunning Conqueror</t>
  </si>
  <si>
    <t>Sarevok's Tome</t>
  </si>
  <si>
    <t>Muraganda Raceway</t>
  </si>
  <si>
    <t>Creeping Tar Pit</t>
  </si>
  <si>
    <t>Twilight Diviner</t>
  </si>
  <si>
    <t>Baxter Building</t>
  </si>
  <si>
    <t>Spell Stuter</t>
  </si>
  <si>
    <t>Stocking the Pantry</t>
  </si>
  <si>
    <t>Vega, the Watcher</t>
  </si>
  <si>
    <t>Augur of Autumn</t>
  </si>
  <si>
    <t>Castle Doom</t>
  </si>
  <si>
    <t>Spara.xlsx</t>
  </si>
  <si>
    <t>Falco Spara, Pactweaver</t>
  </si>
  <si>
    <t>Tranquil Landscape</t>
  </si>
  <si>
    <t>Krosan Verge</t>
  </si>
  <si>
    <t>Tidus, Yuna's Guardian</t>
  </si>
  <si>
    <t>The Thirteenth Doctor</t>
  </si>
  <si>
    <t>Kellan, the Kid</t>
  </si>
  <si>
    <t>Lonis, Cryptozoologist</t>
  </si>
  <si>
    <t>Nadir Kraken</t>
  </si>
  <si>
    <t>Chasm Skulker</t>
  </si>
  <si>
    <t>Crufix, God of Horizons</t>
  </si>
  <si>
    <t>Abzan Falconeer</t>
  </si>
  <si>
    <t>Omnivorous Flytrap</t>
  </si>
  <si>
    <t>Mana Leak</t>
  </si>
  <si>
    <t>Pensive Professor</t>
  </si>
  <si>
    <t>Hadana's Climb</t>
  </si>
  <si>
    <t>Ant-Man, Colony Commander</t>
  </si>
  <si>
    <t>Kid Loki</t>
  </si>
  <si>
    <t>Eirdu, Carrier of Dawn</t>
  </si>
  <si>
    <t>Cabaretti Courtyard</t>
  </si>
  <si>
    <t>Thraben Inspector</t>
  </si>
  <si>
    <t>Novice Inspector</t>
  </si>
  <si>
    <t>Alicia Masters, Skilled Sculptor</t>
  </si>
  <si>
    <t>Bountiful Promenade</t>
  </si>
  <si>
    <t>Lethal Scheme</t>
  </si>
  <si>
    <t>Namor, Atlantean King</t>
  </si>
  <si>
    <t>Nova Flame</t>
  </si>
  <si>
    <t>Sodden Verdure</t>
  </si>
  <si>
    <t>Heartless Act</t>
  </si>
  <si>
    <t>Elotrastitic Field</t>
  </si>
  <si>
    <t>Firebrand Archer</t>
  </si>
  <si>
    <t>Rocco, Street Chef</t>
  </si>
  <si>
    <t>?</t>
  </si>
  <si>
    <t>Cascading Cataracts</t>
  </si>
  <si>
    <t>Grand Coliseum</t>
  </si>
  <si>
    <t>Illusionist's Gambit</t>
  </si>
  <si>
    <t>Court of Locthwain</t>
  </si>
  <si>
    <t>Take Up The Shield</t>
  </si>
  <si>
    <t>Plaza of Heroes</t>
  </si>
  <si>
    <t>The Great Mound</t>
  </si>
  <si>
    <t>Leilão 3</t>
  </si>
  <si>
    <t>Rei</t>
  </si>
  <si>
    <t>Spara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</si>
</sst>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#,##0.00"/>
    <numFmt numFmtId="165" formatCode="_-&quot;R$&quot;* #,##0.00_-;\-&quot;R$&quot;* #,##0.00_-;_-&quot;R$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4" fontId="0" fillId="0" borderId="0" xfId="0" applyNumberFormat="1"/>
    <xf numFmtId="165" fontId="0" fillId="0" borderId="0" xfId="1" applyFont="1"/>
    <xf numFmtId="0" fontId="0" fillId="2" borderId="0" xfId="0" applyFill="1"/>
    <xf numFmtId="165" fontId="0" fillId="0" borderId="0" xfId="1" applyFont="1" applyFill="1" applyAlignment="1">
      <alignment horizontal="left"/>
    </xf>
    <xf numFmtId="165" fontId="0" fillId="0" borderId="0" xfId="1" applyFont="1" applyFill="1"/>
    <xf numFmtId="0" fontId="0" fillId="0" borderId="0" xfId="0" quotePrefix="1"/>
    <xf numFmtId="164" fontId="0" fillId="2" borderId="0" xfId="0" applyNumberFormat="1" applyFill="1"/>
    <xf numFmtId="165" fontId="0" fillId="0" borderId="0" xfId="1" applyFont="1" applyAlignment="1">
      <alignment horizontal="left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Moeda 2" xfId="1" xr:uid="{20356C52-11FD-419A-8810-EA77922F9024}"/>
    <cellStyle name="Normal" xfId="0" builtinId="0"/>
  </cellStyles>
  <dxfs count="27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theme="9"/>
      </font>
      <fill>
        <patternFill>
          <bgColor theme="9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8"/>
      </font>
      <fill>
        <patternFill>
          <bgColor theme="8"/>
        </patternFill>
      </fill>
    </dxf>
    <dxf>
      <font>
        <color theme="0"/>
      </font>
      <fill>
        <patternFill patternType="lightTrellis">
          <bgColor theme="0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9"/>
      </font>
      <fill>
        <patternFill>
          <bgColor theme="9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 patternType="lightTrellis">
          <bgColor theme="0"/>
        </patternFill>
      </fill>
    </dxf>
    <dxf>
      <font>
        <color theme="0"/>
      </font>
      <fill>
        <patternFill patternType="lightTrellis">
          <bgColor theme="0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361950</xdr:colOff>
          <xdr:row>7</xdr:row>
          <xdr:rowOff>85725</xdr:rowOff>
        </xdr:from>
        <xdr:to>
          <xdr:col>2</xdr:col>
          <xdr:colOff>371475</xdr:colOff>
          <xdr:row>11</xdr:row>
          <xdr:rowOff>9525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Atualizar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elo%20Scalvi\Dropbox\Jogos\Magic\ARQUIVO\Pasta%20Resumo%20Manual.xlsm" TargetMode="External"/><Relationship Id="rId1" Type="http://schemas.openxmlformats.org/officeDocument/2006/relationships/externalLinkPath" Target="ARQUIVO/Pasta%20Resumo%20Manu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RAS"/>
      <sheetName val="Tabela2"/>
      <sheetName val="RESUMO"/>
      <sheetName val="COLEÇÃO"/>
      <sheetName val="STATS"/>
      <sheetName val="WATCH"/>
      <sheetName val="TOKENS"/>
      <sheetName val="Pasta Resumo Manual"/>
    </sheetNames>
    <definedNames>
      <definedName name="Atualizar_Tud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6D443395-CCBA-4D92-AB68-9B31823A65F1}" autoFormatId="16" applyNumberFormats="0" applyBorderFormats="0" applyFontFormats="0" applyPatternFormats="0" applyAlignmentFormats="0" applyWidthHeightFormats="0">
  <queryTableRefresh nextId="7" unboundColumnsRight="2">
    <queryTableFields count="4">
      <queryTableField id="1" name="Nome da Origem" tableColumnId="1"/>
      <queryTableField id="2" name="Carta Ideal" tableColumnId="2"/>
      <queryTableField id="3" dataBound="0" tableColumnId="4"/>
      <queryTableField id="4" dataBound="0" tableColumnId="6"/>
    </queryTableFields>
    <queryTableDeletedFields count="2">
      <deletedField name="https://www.ligamagic.com.br/?view=dks/deck&amp;id=10019715"/>
      <deletedField name="https://www.ligamagic.com.br/?view=dks/deck&amp;id=1001971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DDD0CF2B-CFEC-4E35-B00A-85ED5B74C3DA}" autoFormatId="16" applyNumberFormats="0" applyBorderFormats="0" applyFontFormats="0" applyPatternFormats="0" applyAlignmentFormats="0" applyWidthHeightFormats="0">
  <queryTableRefresh nextId="5">
    <queryTableFields count="4">
      <queryTableField id="1" name="Nome da Origem" tableColumnId="1"/>
      <queryTableField id="2" name="Carta Ideal" tableColumnId="2"/>
      <queryTableField id="3" name="API.prices.usd" tableColumnId="3"/>
      <queryTableField id="4" name="Faixa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7" xr16:uid="{760BEB7B-3966-416B-A31D-F77EDAA13826}" autoFormatId="16" applyNumberFormats="0" applyBorderFormats="0" applyFontFormats="0" applyPatternFormats="0" applyAlignmentFormats="0" applyWidthHeightFormats="0">
  <queryTableRefresh nextId="4">
    <queryTableFields count="2">
      <queryTableField id="1" name="Nome da Origem" tableColumnId="1"/>
      <queryTableField id="2" name="Carta Atual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FBCB2405-CC5D-41EE-9D4A-8BC9212152C2}" autoFormatId="16" applyNumberFormats="0" applyBorderFormats="0" applyFontFormats="0" applyPatternFormats="0" applyAlignmentFormats="0" applyWidthHeightFormats="0">
  <queryTableRefresh nextId="4">
    <queryTableFields count="2">
      <queryTableField id="1" name="Nome da Origem" tableColumnId="1"/>
      <queryTableField id="2" name="Carta Atua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2A529D-1AD5-4949-94DB-BF6037DF9978}" name="Missing" displayName="Missing" ref="A1:D438" tableType="queryTable" totalsRowShown="0">
  <autoFilter ref="A1:D438" xr:uid="{CE2A529D-1AD5-4949-94DB-BF6037DF9978}"/>
  <sortState xmlns:xlrd2="http://schemas.microsoft.com/office/spreadsheetml/2017/richdata2" ref="A2:D438">
    <sortCondition ref="B1:B438"/>
  </sortState>
  <tableColumns count="4">
    <tableColumn id="1" xr3:uid="{D7A5AA3F-FE39-4235-A765-A9C286A9FEDA}" uniqueName="1" name="Nome da Origem" queryTableFieldId="1" dataDxfId="26"/>
    <tableColumn id="2" xr3:uid="{267283B3-42F9-4E10-AF20-93946C15883F}" uniqueName="2" name="Carta Ideal" queryTableFieldId="2" dataDxfId="25"/>
    <tableColumn id="4" xr3:uid="{2BC98D3A-C3DE-4D74-8C15-9FAE0D8E45CE}" uniqueName="4" name="Em Uso" queryTableFieldId="3" dataDxfId="21">
      <calculatedColumnFormula>IF(COUNTIF(Substitutas!$B:$B, B2) &gt; 0, "✅ Tenho", "❌ Faltando")</calculatedColumnFormula>
    </tableColumn>
    <tableColumn id="6" xr3:uid="{EE79FDB7-2F40-4E98-B1B1-9C7B13199B3A}" uniqueName="6" name="Deck" queryTableFieldId="4" dataDxfId="20">
      <calculatedColumnFormula>_xlfn.XLOOKUP(B2, Substitutas!$B:$B, Substitutas!$A:$A, "-")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07D98-0EFC-40F1-9E53-CDA2ED00FE70}" name="Prices" displayName="Prices" ref="A1:D377" tableType="queryTable" totalsRowShown="0">
  <autoFilter ref="A1:D377" xr:uid="{55807D98-0EFC-40F1-9E53-CDA2ED00FE70}"/>
  <sortState xmlns:xlrd2="http://schemas.microsoft.com/office/spreadsheetml/2017/richdata2" ref="A2:D377">
    <sortCondition ref="C1:C377"/>
  </sortState>
  <tableColumns count="4">
    <tableColumn id="1" xr3:uid="{136DAB5E-F6E8-4E38-B393-57A1CC557F26}" uniqueName="1" name="Nome da Origem" queryTableFieldId="1" dataDxfId="2"/>
    <tableColumn id="2" xr3:uid="{20BDDFF5-052D-4572-BD7C-6952A4DDE335}" uniqueName="2" name="Carta Ideal" queryTableFieldId="2" dataDxfId="24"/>
    <tableColumn id="3" xr3:uid="{BDE1CC5D-F74F-4DA8-BFE2-68FD3F94C0CC}" uniqueName="3" name="API.prices.usd" queryTableFieldId="3" dataDxfId="1"/>
    <tableColumn id="4" xr3:uid="{D0827A6F-FCCE-44AD-A99B-372FA9ADA439}" uniqueName="4" name="Faixa" queryTableFieldId="4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E493AC-9A83-48A9-9250-90D1DDACEAAC}" name="Substitutas" displayName="Substitutas" ref="A1:B309" tableType="queryTable" totalsRowShown="0">
  <autoFilter ref="A1:B309" xr:uid="{76E493AC-9A83-48A9-9250-90D1DDACEAAC}"/>
  <sortState xmlns:xlrd2="http://schemas.microsoft.com/office/spreadsheetml/2017/richdata2" ref="A2:B309">
    <sortCondition ref="B1:B309"/>
  </sortState>
  <tableColumns count="2">
    <tableColumn id="1" xr3:uid="{94B465EB-17B2-4E1D-8935-9AA013E87B9B}" uniqueName="1" name="Nome da Origem" queryTableFieldId="1" dataDxfId="23"/>
    <tableColumn id="2" xr3:uid="{9229598C-F1C3-4EE7-998A-825FDB2E7B99}" uniqueName="2" name="Carta Atual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7E4737-2E06-49C9-BC23-9AAFC9E5C240}" name="Decks" displayName="Decks" ref="A1:B2801" tableType="queryTable" totalsRowShown="0">
  <autoFilter ref="A1:B2801" xr:uid="{76E493AC-9A83-48A9-9250-90D1DDACEAAC}"/>
  <sortState xmlns:xlrd2="http://schemas.microsoft.com/office/spreadsheetml/2017/richdata2" ref="A2:B2801">
    <sortCondition ref="B1:B2801"/>
  </sortState>
  <tableColumns count="2">
    <tableColumn id="1" xr3:uid="{B5D7FC57-0D35-4EC6-A8E9-4D721D5F6F30}" uniqueName="1" name="Nome da Origem" queryTableFieldId="1" dataDxfId="22"/>
    <tableColumn id="2" xr3:uid="{3F580A46-4796-4AC1-A585-292C85A60BC4}" uniqueName="2" name="Carta Atual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E808-9FA7-444C-8452-D3A63D543C16}">
  <dimension ref="A1:O262"/>
  <sheetViews>
    <sheetView tabSelected="1" workbookViewId="0">
      <selection activeCell="O18" sqref="O18"/>
    </sheetView>
  </sheetViews>
  <sheetFormatPr defaultRowHeight="15" x14ac:dyDescent="0.25"/>
  <cols>
    <col min="1" max="1" width="11.42578125" bestFit="1" customWidth="1"/>
    <col min="2" max="2" width="16" bestFit="1" customWidth="1"/>
    <col min="3" max="3" width="11.7109375" style="7" bestFit="1" customWidth="1"/>
    <col min="4" max="4" width="3.7109375" style="8" customWidth="1"/>
    <col min="5" max="5" width="8.5703125" bestFit="1" customWidth="1"/>
    <col min="6" max="6" width="37.28515625" bestFit="1" customWidth="1"/>
    <col min="7" max="7" width="10.140625" style="7" customWidth="1"/>
    <col min="8" max="9" width="9.140625" style="7"/>
    <col min="10" max="10" width="10.140625" style="7" bestFit="1" customWidth="1"/>
    <col min="11" max="11" width="3.7109375" style="8" customWidth="1"/>
    <col min="12" max="12" width="12" bestFit="1" customWidth="1"/>
    <col min="13" max="13" width="39.42578125" bestFit="1" customWidth="1"/>
    <col min="14" max="14" width="27.5703125" bestFit="1" customWidth="1"/>
    <col min="15" max="15" width="18.85546875" bestFit="1" customWidth="1"/>
    <col min="16" max="16" width="22.5703125" bestFit="1" customWidth="1"/>
  </cols>
  <sheetData>
    <row r="1" spans="1:15" x14ac:dyDescent="0.25">
      <c r="A1" t="s">
        <v>475</v>
      </c>
      <c r="B1" s="6">
        <f>C2+C8+C13+C18+C23+C28+C32+C34+C38+C50</f>
        <v>0</v>
      </c>
      <c r="E1" t="s">
        <v>476</v>
      </c>
      <c r="F1" t="str">
        <f>A2</f>
        <v>Marcelo</v>
      </c>
      <c r="G1" s="9" t="str">
        <f>B3</f>
        <v>Victor</v>
      </c>
      <c r="H1" s="10" t="str">
        <f>B4</f>
        <v>Hamster</v>
      </c>
      <c r="I1" s="10" t="str">
        <f>B5</f>
        <v>Marcelo</v>
      </c>
      <c r="J1" s="10" t="str">
        <f>B6</f>
        <v>Liga</v>
      </c>
      <c r="L1" t="s">
        <v>476</v>
      </c>
      <c r="M1" s="1" t="s">
        <v>477</v>
      </c>
      <c r="N1" s="1" t="s">
        <v>478</v>
      </c>
      <c r="O1" t="s">
        <v>479</v>
      </c>
    </row>
    <row r="2" spans="1:15" x14ac:dyDescent="0.25">
      <c r="A2" s="1" t="s">
        <v>480</v>
      </c>
      <c r="B2" t="s">
        <v>481</v>
      </c>
      <c r="C2" s="7">
        <f>SUM(C3:C6)</f>
        <v>0</v>
      </c>
      <c r="F2" t="s">
        <v>304</v>
      </c>
      <c r="L2" t="s">
        <v>2722</v>
      </c>
      <c r="M2" t="s">
        <v>2845</v>
      </c>
      <c r="O2" t="s">
        <v>2848</v>
      </c>
    </row>
    <row r="3" spans="1:15" x14ac:dyDescent="0.25">
      <c r="A3" s="1">
        <f>COUNTA(F2:F215)</f>
        <v>4</v>
      </c>
      <c r="B3" s="11" t="s">
        <v>891</v>
      </c>
      <c r="C3" s="7">
        <f>SUM(G:G)</f>
        <v>0</v>
      </c>
      <c r="F3" t="s">
        <v>305</v>
      </c>
      <c r="K3" s="12"/>
      <c r="L3" t="s">
        <v>952</v>
      </c>
      <c r="M3" t="s">
        <v>2734</v>
      </c>
      <c r="O3" t="s">
        <v>2848</v>
      </c>
    </row>
    <row r="4" spans="1:15" x14ac:dyDescent="0.25">
      <c r="A4" s="1"/>
      <c r="B4" s="11" t="s">
        <v>482</v>
      </c>
      <c r="C4" s="7">
        <f>SUM(H:H)</f>
        <v>0</v>
      </c>
      <c r="F4" t="s">
        <v>634</v>
      </c>
      <c r="K4" s="12"/>
      <c r="L4" t="s">
        <v>303</v>
      </c>
      <c r="M4" t="s">
        <v>801</v>
      </c>
      <c r="N4" t="s">
        <v>818</v>
      </c>
      <c r="O4" t="s">
        <v>2848</v>
      </c>
    </row>
    <row r="5" spans="1:15" x14ac:dyDescent="0.25">
      <c r="A5" s="1"/>
      <c r="B5" s="11" t="s">
        <v>480</v>
      </c>
      <c r="C5" s="7">
        <f>SUM(I:I)</f>
        <v>0</v>
      </c>
      <c r="F5" t="s">
        <v>297</v>
      </c>
      <c r="J5" s="13"/>
      <c r="K5" s="12"/>
      <c r="L5" t="s">
        <v>313</v>
      </c>
      <c r="M5" t="s">
        <v>2847</v>
      </c>
      <c r="N5" t="s">
        <v>681</v>
      </c>
      <c r="O5" t="s">
        <v>2848</v>
      </c>
    </row>
    <row r="6" spans="1:15" x14ac:dyDescent="0.25">
      <c r="A6" s="1"/>
      <c r="B6" s="11" t="s">
        <v>483</v>
      </c>
      <c r="C6" s="7">
        <f>SUM(J:J)</f>
        <v>0</v>
      </c>
      <c r="L6" t="s">
        <v>318</v>
      </c>
      <c r="M6" t="s">
        <v>166</v>
      </c>
      <c r="N6" t="s">
        <v>738</v>
      </c>
      <c r="O6" t="s">
        <v>300</v>
      </c>
    </row>
    <row r="7" spans="1:15" x14ac:dyDescent="0.25">
      <c r="A7" s="1"/>
      <c r="B7" s="11"/>
      <c r="L7" t="s">
        <v>320</v>
      </c>
      <c r="M7" t="s">
        <v>2846</v>
      </c>
      <c r="N7" t="s">
        <v>1783</v>
      </c>
      <c r="O7" t="s">
        <v>2848</v>
      </c>
    </row>
    <row r="8" spans="1:15" x14ac:dyDescent="0.25">
      <c r="A8" s="1"/>
      <c r="G8" s="13"/>
      <c r="K8" s="12"/>
      <c r="L8" t="s">
        <v>313</v>
      </c>
      <c r="M8" t="s">
        <v>2750</v>
      </c>
      <c r="N8" t="s">
        <v>2803</v>
      </c>
      <c r="O8" t="s">
        <v>2849</v>
      </c>
    </row>
    <row r="9" spans="1:15" x14ac:dyDescent="0.25">
      <c r="A9" s="1"/>
      <c r="B9" s="11"/>
      <c r="K9" s="12"/>
      <c r="L9" t="s">
        <v>313</v>
      </c>
      <c r="M9" t="s">
        <v>2761</v>
      </c>
      <c r="N9" t="s">
        <v>2007</v>
      </c>
      <c r="O9" t="s">
        <v>2849</v>
      </c>
    </row>
    <row r="10" spans="1:15" x14ac:dyDescent="0.25">
      <c r="A10" s="1"/>
      <c r="B10" s="11"/>
      <c r="J10" s="13"/>
      <c r="L10" t="s">
        <v>912</v>
      </c>
      <c r="M10" t="s">
        <v>2775</v>
      </c>
      <c r="N10" t="s">
        <v>749</v>
      </c>
      <c r="O10" t="s">
        <v>2849</v>
      </c>
    </row>
    <row r="11" spans="1:15" x14ac:dyDescent="0.25">
      <c r="A11" s="1"/>
      <c r="B11" s="11"/>
      <c r="L11" t="s">
        <v>912</v>
      </c>
      <c r="M11" t="s">
        <v>811</v>
      </c>
      <c r="N11" t="s">
        <v>2388</v>
      </c>
      <c r="O11" t="s">
        <v>2849</v>
      </c>
    </row>
    <row r="12" spans="1:15" x14ac:dyDescent="0.25">
      <c r="A12" s="1"/>
      <c r="K12" s="12"/>
      <c r="L12" t="s">
        <v>2850</v>
      </c>
      <c r="M12" t="s">
        <v>2814</v>
      </c>
      <c r="N12" t="s">
        <v>2820</v>
      </c>
      <c r="O12" t="s">
        <v>2849</v>
      </c>
    </row>
    <row r="13" spans="1:15" x14ac:dyDescent="0.25">
      <c r="A13" s="1"/>
      <c r="K13" s="12"/>
      <c r="L13" t="s">
        <v>2722</v>
      </c>
      <c r="M13" t="s">
        <v>2656</v>
      </c>
      <c r="O13" t="s">
        <v>2849</v>
      </c>
    </row>
    <row r="14" spans="1:15" x14ac:dyDescent="0.25">
      <c r="A14" s="1"/>
      <c r="B14" s="11"/>
      <c r="K14" s="12"/>
      <c r="L14" t="s">
        <v>318</v>
      </c>
      <c r="M14" t="s">
        <v>171</v>
      </c>
      <c r="N14" t="s">
        <v>745</v>
      </c>
      <c r="O14" t="s">
        <v>2849</v>
      </c>
    </row>
    <row r="15" spans="1:15" x14ac:dyDescent="0.25">
      <c r="A15" s="1"/>
      <c r="B15" s="11"/>
      <c r="K15" s="12"/>
      <c r="L15" t="s">
        <v>2722</v>
      </c>
      <c r="M15" t="s">
        <v>2670</v>
      </c>
      <c r="O15" t="s">
        <v>2849</v>
      </c>
    </row>
    <row r="16" spans="1:15" x14ac:dyDescent="0.25">
      <c r="A16" s="1"/>
      <c r="B16" s="11"/>
      <c r="K16" s="12"/>
      <c r="L16" t="s">
        <v>2722</v>
      </c>
      <c r="M16" t="s">
        <v>2666</v>
      </c>
      <c r="O16" t="s">
        <v>2849</v>
      </c>
    </row>
    <row r="17" spans="1:15" x14ac:dyDescent="0.25">
      <c r="A17" s="1"/>
      <c r="K17" s="12"/>
      <c r="L17" t="s">
        <v>2722</v>
      </c>
      <c r="M17" t="s">
        <v>2664</v>
      </c>
      <c r="O17" t="s">
        <v>2849</v>
      </c>
    </row>
    <row r="18" spans="1:15" x14ac:dyDescent="0.25">
      <c r="A18" s="1"/>
      <c r="H18" s="13"/>
      <c r="L18" t="s">
        <v>2722</v>
      </c>
      <c r="M18" t="s">
        <v>2682</v>
      </c>
      <c r="O18" t="s">
        <v>2849</v>
      </c>
    </row>
    <row r="19" spans="1:15" x14ac:dyDescent="0.25">
      <c r="A19" s="1"/>
      <c r="B19" s="11"/>
      <c r="L19" t="s">
        <v>297</v>
      </c>
      <c r="M19" t="s">
        <v>53</v>
      </c>
      <c r="N19" t="s">
        <v>671</v>
      </c>
      <c r="O19" t="s">
        <v>2849</v>
      </c>
    </row>
    <row r="20" spans="1:15" x14ac:dyDescent="0.25">
      <c r="A20" s="1"/>
      <c r="B20" s="11"/>
      <c r="K20" s="12"/>
      <c r="L20" t="s">
        <v>2722</v>
      </c>
      <c r="M20" t="s">
        <v>2674</v>
      </c>
      <c r="O20" t="s">
        <v>2849</v>
      </c>
    </row>
    <row r="21" spans="1:15" x14ac:dyDescent="0.25">
      <c r="A21" s="1"/>
      <c r="B21" s="11"/>
      <c r="L21" t="s">
        <v>2722</v>
      </c>
      <c r="M21" t="s">
        <v>2659</v>
      </c>
      <c r="O21" t="s">
        <v>2849</v>
      </c>
    </row>
    <row r="22" spans="1:15" x14ac:dyDescent="0.25">
      <c r="A22" s="1"/>
      <c r="L22" t="s">
        <v>295</v>
      </c>
      <c r="M22" t="s">
        <v>34</v>
      </c>
      <c r="N22" t="s">
        <v>663</v>
      </c>
      <c r="O22" t="s">
        <v>2849</v>
      </c>
    </row>
    <row r="23" spans="1:15" x14ac:dyDescent="0.25">
      <c r="A23" s="1"/>
      <c r="L23" t="s">
        <v>2722</v>
      </c>
      <c r="M23" t="s">
        <v>2673</v>
      </c>
      <c r="O23" t="s">
        <v>2849</v>
      </c>
    </row>
    <row r="24" spans="1:15" x14ac:dyDescent="0.25">
      <c r="A24" s="1"/>
      <c r="B24" s="11"/>
      <c r="L24" t="s">
        <v>322</v>
      </c>
      <c r="M24" t="s">
        <v>184</v>
      </c>
      <c r="N24" t="s">
        <v>881</v>
      </c>
      <c r="O24" t="s">
        <v>2849</v>
      </c>
    </row>
    <row r="25" spans="1:15" x14ac:dyDescent="0.25">
      <c r="A25" s="1"/>
      <c r="B25" s="11"/>
      <c r="K25" s="12"/>
      <c r="L25" t="s">
        <v>1105</v>
      </c>
      <c r="M25" t="s">
        <v>1066</v>
      </c>
      <c r="N25" t="s">
        <v>1106</v>
      </c>
      <c r="O25" t="s">
        <v>2849</v>
      </c>
    </row>
    <row r="26" spans="1:15" x14ac:dyDescent="0.25">
      <c r="A26" s="1"/>
      <c r="B26" s="11"/>
      <c r="L26" t="s">
        <v>2722</v>
      </c>
      <c r="M26" t="s">
        <v>2672</v>
      </c>
      <c r="O26" t="s">
        <v>2849</v>
      </c>
    </row>
    <row r="27" spans="1:15" x14ac:dyDescent="0.25">
      <c r="A27" s="1"/>
      <c r="L27" t="s">
        <v>2722</v>
      </c>
      <c r="M27" t="s">
        <v>2637</v>
      </c>
      <c r="O27" t="s">
        <v>2849</v>
      </c>
    </row>
    <row r="28" spans="1:15" x14ac:dyDescent="0.25">
      <c r="A28" s="1"/>
    </row>
    <row r="29" spans="1:15" x14ac:dyDescent="0.25">
      <c r="A29" s="1"/>
      <c r="B29" s="11"/>
    </row>
    <row r="30" spans="1:15" x14ac:dyDescent="0.25">
      <c r="B30" s="11"/>
    </row>
    <row r="31" spans="1:15" x14ac:dyDescent="0.25">
      <c r="B31" s="11"/>
      <c r="K31" s="12"/>
    </row>
    <row r="32" spans="1:15" x14ac:dyDescent="0.25">
      <c r="K32" s="12"/>
    </row>
    <row r="33" spans="8:14" x14ac:dyDescent="0.25">
      <c r="K33" s="12"/>
    </row>
    <row r="34" spans="8:14" x14ac:dyDescent="0.25">
      <c r="H34" s="13"/>
      <c r="K34" s="12"/>
      <c r="N34" s="11"/>
    </row>
    <row r="37" spans="8:14" x14ac:dyDescent="0.25">
      <c r="K37" s="12"/>
    </row>
    <row r="38" spans="8:14" x14ac:dyDescent="0.25">
      <c r="K38" s="12"/>
    </row>
    <row r="39" spans="8:14" x14ac:dyDescent="0.25">
      <c r="K39" s="12"/>
      <c r="N39" s="11"/>
    </row>
    <row r="40" spans="8:14" x14ac:dyDescent="0.25">
      <c r="K40" s="12"/>
    </row>
    <row r="41" spans="8:14" x14ac:dyDescent="0.25">
      <c r="K41" s="12"/>
    </row>
    <row r="42" spans="8:14" x14ac:dyDescent="0.25">
      <c r="K42" s="12"/>
    </row>
    <row r="44" spans="8:14" x14ac:dyDescent="0.25">
      <c r="K44" s="12"/>
    </row>
    <row r="45" spans="8:14" x14ac:dyDescent="0.25">
      <c r="K45" s="12"/>
      <c r="M45" s="3"/>
    </row>
    <row r="46" spans="8:14" x14ac:dyDescent="0.25">
      <c r="K46" s="12"/>
    </row>
    <row r="47" spans="8:14" x14ac:dyDescent="0.25">
      <c r="K47" s="12"/>
    </row>
    <row r="48" spans="8:14" x14ac:dyDescent="0.25">
      <c r="K48" s="12"/>
    </row>
    <row r="51" spans="10:14" x14ac:dyDescent="0.25">
      <c r="J51" s="13"/>
      <c r="K51" s="12"/>
    </row>
    <row r="52" spans="10:14" x14ac:dyDescent="0.25">
      <c r="K52" s="12"/>
    </row>
    <row r="53" spans="10:14" x14ac:dyDescent="0.25">
      <c r="K53" s="12"/>
    </row>
    <row r="54" spans="10:14" x14ac:dyDescent="0.25">
      <c r="K54" s="12"/>
      <c r="N54" s="11"/>
    </row>
    <row r="55" spans="10:14" x14ac:dyDescent="0.25">
      <c r="K55" s="12"/>
    </row>
    <row r="56" spans="10:14" x14ac:dyDescent="0.25">
      <c r="J56" s="13"/>
      <c r="K56" s="12"/>
    </row>
    <row r="57" spans="10:14" x14ac:dyDescent="0.25">
      <c r="K57" s="12"/>
    </row>
    <row r="58" spans="10:14" x14ac:dyDescent="0.25">
      <c r="K58" s="12"/>
    </row>
    <row r="59" spans="10:14" x14ac:dyDescent="0.25">
      <c r="K59" s="12"/>
    </row>
    <row r="60" spans="10:14" x14ac:dyDescent="0.25">
      <c r="K60" s="12"/>
    </row>
    <row r="61" spans="10:14" x14ac:dyDescent="0.25">
      <c r="K61" s="12"/>
    </row>
    <row r="62" spans="10:14" x14ac:dyDescent="0.25">
      <c r="K62" s="12"/>
    </row>
    <row r="63" spans="10:14" x14ac:dyDescent="0.25">
      <c r="K63" s="12"/>
    </row>
    <row r="64" spans="10:14" x14ac:dyDescent="0.25">
      <c r="K64" s="12"/>
    </row>
    <row r="65" spans="11:11" x14ac:dyDescent="0.25">
      <c r="K65" s="12"/>
    </row>
    <row r="66" spans="11:11" x14ac:dyDescent="0.25">
      <c r="K66" s="12"/>
    </row>
    <row r="67" spans="11:11" x14ac:dyDescent="0.25">
      <c r="K67" s="12"/>
    </row>
    <row r="68" spans="11:11" x14ac:dyDescent="0.25">
      <c r="K68" s="12"/>
    </row>
    <row r="69" spans="11:11" x14ac:dyDescent="0.25">
      <c r="K69" s="12"/>
    </row>
    <row r="70" spans="11:11" x14ac:dyDescent="0.25">
      <c r="K70" s="12"/>
    </row>
    <row r="71" spans="11:11" x14ac:dyDescent="0.25">
      <c r="K71" s="12"/>
    </row>
    <row r="72" spans="11:11" x14ac:dyDescent="0.25">
      <c r="K72" s="12"/>
    </row>
    <row r="73" spans="11:11" x14ac:dyDescent="0.25">
      <c r="K73" s="12"/>
    </row>
    <row r="105" spans="7:10" x14ac:dyDescent="0.25">
      <c r="G105" s="13"/>
      <c r="H105" s="13"/>
    </row>
    <row r="106" spans="7:10" x14ac:dyDescent="0.25">
      <c r="G106" s="13"/>
      <c r="H106" s="13"/>
    </row>
    <row r="107" spans="7:10" x14ac:dyDescent="0.25">
      <c r="G107" s="13"/>
      <c r="H107" s="13"/>
    </row>
    <row r="109" spans="7:10" x14ac:dyDescent="0.25">
      <c r="I109" s="13"/>
      <c r="J109" s="13"/>
    </row>
    <row r="147" spans="9:10" x14ac:dyDescent="0.25">
      <c r="I147" s="13"/>
      <c r="J147" s="13"/>
    </row>
    <row r="150" spans="9:10" x14ac:dyDescent="0.25">
      <c r="I150" s="13"/>
      <c r="J150" s="13"/>
    </row>
    <row r="151" spans="9:10" x14ac:dyDescent="0.25">
      <c r="I151" s="13"/>
      <c r="J151" s="13"/>
    </row>
    <row r="152" spans="9:10" x14ac:dyDescent="0.25">
      <c r="I152" s="13"/>
      <c r="J152" s="13"/>
    </row>
    <row r="153" spans="9:10" x14ac:dyDescent="0.25">
      <c r="I153" s="13"/>
      <c r="J153" s="13"/>
    </row>
    <row r="154" spans="9:10" x14ac:dyDescent="0.25">
      <c r="I154" s="13"/>
      <c r="J154" s="13"/>
    </row>
    <row r="168" spans="9:10" x14ac:dyDescent="0.25">
      <c r="I168" s="13"/>
      <c r="J168" s="13"/>
    </row>
    <row r="249" spans="7:10" x14ac:dyDescent="0.25">
      <c r="G249" s="13"/>
    </row>
    <row r="250" spans="7:10" x14ac:dyDescent="0.25">
      <c r="G250" s="13"/>
      <c r="H250" s="13"/>
      <c r="I250" s="13"/>
      <c r="J250" s="13"/>
    </row>
    <row r="251" spans="7:10" x14ac:dyDescent="0.25">
      <c r="G251" s="13"/>
      <c r="H251" s="13"/>
      <c r="I251" s="13"/>
      <c r="J251" s="13"/>
    </row>
    <row r="252" spans="7:10" x14ac:dyDescent="0.25">
      <c r="G252" s="13"/>
      <c r="H252" s="13"/>
      <c r="I252" s="13"/>
      <c r="J252" s="13"/>
    </row>
    <row r="253" spans="7:10" x14ac:dyDescent="0.25">
      <c r="G253" s="13"/>
      <c r="H253" s="13"/>
      <c r="I253" s="13"/>
      <c r="J253" s="13"/>
    </row>
    <row r="254" spans="7:10" x14ac:dyDescent="0.25">
      <c r="G254" s="13"/>
      <c r="H254" s="13"/>
      <c r="I254" s="13"/>
      <c r="J254" s="13"/>
    </row>
    <row r="255" spans="7:10" x14ac:dyDescent="0.25">
      <c r="G255" s="13"/>
      <c r="H255" s="13"/>
      <c r="I255" s="13"/>
      <c r="J255" s="13"/>
    </row>
    <row r="256" spans="7:10" x14ac:dyDescent="0.25">
      <c r="G256" s="13"/>
      <c r="H256" s="13"/>
      <c r="I256" s="13"/>
      <c r="J256" s="13"/>
    </row>
    <row r="257" spans="7:10" x14ac:dyDescent="0.25">
      <c r="G257" s="13"/>
      <c r="H257" s="13"/>
      <c r="I257" s="13"/>
      <c r="J257" s="13"/>
    </row>
    <row r="258" spans="7:10" x14ac:dyDescent="0.25">
      <c r="G258" s="13"/>
      <c r="H258" s="13"/>
      <c r="I258" s="13"/>
      <c r="J258" s="13"/>
    </row>
    <row r="259" spans="7:10" x14ac:dyDescent="0.25">
      <c r="H259" s="13"/>
      <c r="I259" s="13"/>
      <c r="J259" s="13"/>
    </row>
    <row r="260" spans="7:10" x14ac:dyDescent="0.25">
      <c r="H260" s="13"/>
      <c r="I260" s="13"/>
      <c r="J260" s="13"/>
    </row>
    <row r="261" spans="7:10" x14ac:dyDescent="0.25">
      <c r="G261" s="13"/>
      <c r="H261" s="13"/>
      <c r="I261" s="13"/>
      <c r="J261" s="13"/>
    </row>
    <row r="262" spans="7:10" x14ac:dyDescent="0.25">
      <c r="H262" s="13"/>
      <c r="I262" s="13"/>
      <c r="J262" s="13"/>
    </row>
  </sheetData>
  <autoFilter ref="L1:P100" xr:uid="{A5D5E808-9FA7-444C-8452-D3A63D543C16}">
    <sortState xmlns:xlrd2="http://schemas.microsoft.com/office/spreadsheetml/2017/richdata2" ref="L2:P100">
      <sortCondition ref="L1:L100"/>
    </sortState>
  </autoFilter>
  <sortState xmlns:xlrd2="http://schemas.microsoft.com/office/spreadsheetml/2017/richdata2" ref="M29:M86">
    <sortCondition ref="M29:M86"/>
  </sortState>
  <phoneticPr fontId="3" type="noConversion"/>
  <pageMargins left="0.511811024" right="0.511811024" top="0.78740157499999996" bottom="0.78740157499999996" header="0.31496062000000002" footer="0.31496062000000002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Atualizar_Tudo">
                <anchor moveWithCells="1" sizeWithCells="1">
                  <from>
                    <xdr:col>0</xdr:col>
                    <xdr:colOff>361950</xdr:colOff>
                    <xdr:row>7</xdr:row>
                    <xdr:rowOff>85725</xdr:rowOff>
                  </from>
                  <to>
                    <xdr:col>2</xdr:col>
                    <xdr:colOff>371475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EE3E-CD58-4912-89AD-25B4B5EAD0BC}">
  <dimension ref="A1:P438"/>
  <sheetViews>
    <sheetView topLeftCell="A413" workbookViewId="0">
      <selection activeCell="B450" sqref="B450"/>
    </sheetView>
  </sheetViews>
  <sheetFormatPr defaultRowHeight="15" x14ac:dyDescent="0.25"/>
  <cols>
    <col min="1" max="1" width="18.42578125" bestFit="1" customWidth="1"/>
    <col min="2" max="2" width="38.28515625" bestFit="1" customWidth="1"/>
    <col min="3" max="3" width="12.28515625" style="1" bestFit="1" customWidth="1"/>
    <col min="4" max="4" width="10.7109375" style="1" bestFit="1" customWidth="1"/>
    <col min="5" max="5" width="12.28515625" customWidth="1"/>
    <col min="6" max="6" width="12.5703125" style="4" bestFit="1" customWidth="1"/>
    <col min="7" max="7" width="10.42578125" style="1" bestFit="1" customWidth="1"/>
    <col min="8" max="12" width="4.140625" style="1" customWidth="1"/>
    <col min="13" max="14" width="11.5703125" style="1" bestFit="1" customWidth="1"/>
    <col min="15" max="15" width="24.28515625" style="1" bestFit="1" customWidth="1"/>
    <col min="16" max="16" width="10.28515625" style="1" bestFit="1" customWidth="1"/>
  </cols>
  <sheetData>
    <row r="1" spans="1:16" x14ac:dyDescent="0.25">
      <c r="A1" t="s">
        <v>0</v>
      </c>
      <c r="B1" t="s">
        <v>1</v>
      </c>
      <c r="C1" s="1" t="s">
        <v>772</v>
      </c>
      <c r="D1" s="1" t="s">
        <v>476</v>
      </c>
      <c r="F1" s="16" t="s">
        <v>837</v>
      </c>
      <c r="G1" s="16"/>
      <c r="H1" s="16" t="s">
        <v>838</v>
      </c>
      <c r="I1" s="16"/>
      <c r="J1" s="16"/>
      <c r="K1" s="16"/>
      <c r="L1" s="16"/>
      <c r="M1" s="16" t="str">
        <f>COUNTA(F3:F5000) &amp; " Decks"</f>
        <v>37 Decks</v>
      </c>
      <c r="N1" s="16"/>
      <c r="O1" s="16"/>
      <c r="P1" s="16"/>
    </row>
    <row r="2" spans="1:16" x14ac:dyDescent="0.25">
      <c r="A2" t="s">
        <v>616</v>
      </c>
      <c r="B2" t="s">
        <v>120</v>
      </c>
      <c r="C2" s="1" t="str">
        <f>IF(COUNTIF(Substitutas!$B:$B, B2) &gt; 0, "✅ Tenho", "❌ Faltando")</f>
        <v>❌ Faltando</v>
      </c>
      <c r="D2" s="1" t="str">
        <f>_xlfn.XLOOKUP(B2, Substitutas!$B:$B, Substitutas!$A:$A, "-")</f>
        <v>-</v>
      </c>
      <c r="F2" s="15" t="s">
        <v>839</v>
      </c>
      <c r="G2" s="2">
        <f>SUM(G3:G62)</f>
        <v>410</v>
      </c>
      <c r="H2" s="2">
        <f>COUNTIF(H3:H5000,"Sim")</f>
        <v>23</v>
      </c>
      <c r="I2" s="2">
        <f>COUNTIF(I3:I5000,"Sim")</f>
        <v>27</v>
      </c>
      <c r="J2" s="2">
        <f>COUNTIF(J3:J5000,"Sim")</f>
        <v>27</v>
      </c>
      <c r="K2" s="2">
        <f>COUNTIF(K3:K5000,"Sim")</f>
        <v>27</v>
      </c>
      <c r="L2" s="2">
        <f>COUNTIF(L3:L5000,"Sim")</f>
        <v>23</v>
      </c>
      <c r="M2" s="2" t="s">
        <v>249</v>
      </c>
      <c r="N2" s="2" t="s">
        <v>840</v>
      </c>
      <c r="O2" s="2" t="s">
        <v>841</v>
      </c>
      <c r="P2" s="2" t="s">
        <v>842</v>
      </c>
    </row>
    <row r="3" spans="1:16" x14ac:dyDescent="0.25">
      <c r="A3" t="s">
        <v>2808</v>
      </c>
      <c r="B3" t="s">
        <v>120</v>
      </c>
      <c r="C3" s="1" t="str">
        <f>IF(COUNTIF(Substitutas!$B:$B, B3) &gt; 0, "✅ Tenho", "❌ Faltando")</f>
        <v>❌ Faltando</v>
      </c>
      <c r="D3" s="1" t="str">
        <f>_xlfn.XLOOKUP(B3, Substitutas!$B:$B, Substitutas!$A:$A, "-")</f>
        <v>-</v>
      </c>
      <c r="G3" s="1">
        <f>COUNTIF(A:A,F3&amp;".xlsx")</f>
        <v>0</v>
      </c>
      <c r="H3" s="1" t="s">
        <v>229</v>
      </c>
      <c r="I3" s="1" t="s">
        <v>229</v>
      </c>
      <c r="J3" s="1" t="s">
        <v>229</v>
      </c>
      <c r="K3" s="1" t="s">
        <v>229</v>
      </c>
      <c r="L3" s="1" t="s">
        <v>229</v>
      </c>
      <c r="P3" s="1" t="str">
        <f>IF(G3&lt;6,"1",IF(G3&lt;11,"2",IF(G3&lt;16,"3",IF(G3&lt;31,"4","5"))))</f>
        <v>1</v>
      </c>
    </row>
    <row r="4" spans="1:16" x14ac:dyDescent="0.25">
      <c r="A4" t="s">
        <v>831</v>
      </c>
      <c r="B4" t="s">
        <v>944</v>
      </c>
      <c r="C4" s="1" t="str">
        <f>IF(COUNTIF(Substitutas!$B:$B, B4) &gt; 0, "✅ Tenho", "❌ Faltando")</f>
        <v>❌ Faltando</v>
      </c>
      <c r="D4" s="1" t="str">
        <f>_xlfn.XLOOKUP(B4, Substitutas!$B:$B, Substitutas!$A:$A, "-")</f>
        <v>-</v>
      </c>
      <c r="G4" s="1">
        <f>COUNTIF(A:A,F4&amp;".xlsx")</f>
        <v>0</v>
      </c>
      <c r="H4" s="1" t="s">
        <v>234</v>
      </c>
      <c r="I4" s="1" t="s">
        <v>229</v>
      </c>
      <c r="J4" s="1" t="s">
        <v>229</v>
      </c>
      <c r="K4" s="1" t="s">
        <v>229</v>
      </c>
      <c r="L4" s="1" t="s">
        <v>229</v>
      </c>
      <c r="P4" s="1" t="str">
        <f t="shared" ref="P4:P10" si="0">IF(G4&lt;6,"1",IF(G4&lt;11,"2",IF(G4&lt;16,"3",IF(G4&lt;31,"4","5"))))</f>
        <v>1</v>
      </c>
    </row>
    <row r="5" spans="1:16" x14ac:dyDescent="0.25">
      <c r="A5" t="s">
        <v>2616</v>
      </c>
      <c r="B5" t="s">
        <v>2631</v>
      </c>
      <c r="C5" s="1" t="str">
        <f>IF(COUNTIF(Substitutas!$B:$B, B5) &gt; 0, "✅ Tenho", "❌ Faltando")</f>
        <v>❌ Faltando</v>
      </c>
      <c r="D5" s="1" t="str">
        <f>_xlfn.XLOOKUP(B5, Substitutas!$B:$B, Substitutas!$A:$A, "-")</f>
        <v>-</v>
      </c>
      <c r="F5" s="4" t="s">
        <v>310</v>
      </c>
      <c r="G5" s="1">
        <f>COUNTIF(A:A,F5&amp;".xlsx")</f>
        <v>4</v>
      </c>
      <c r="H5" s="1" t="s">
        <v>229</v>
      </c>
      <c r="I5" s="1" t="s">
        <v>234</v>
      </c>
      <c r="J5" s="1" t="s">
        <v>229</v>
      </c>
      <c r="K5" s="1" t="s">
        <v>229</v>
      </c>
      <c r="L5" s="1" t="s">
        <v>229</v>
      </c>
      <c r="M5" s="1" t="s">
        <v>240</v>
      </c>
      <c r="N5" s="14" t="s">
        <v>330</v>
      </c>
      <c r="O5" s="1" t="s">
        <v>843</v>
      </c>
      <c r="P5" s="1" t="str">
        <f t="shared" si="0"/>
        <v>1</v>
      </c>
    </row>
    <row r="6" spans="1:16" x14ac:dyDescent="0.25">
      <c r="A6" t="s">
        <v>915</v>
      </c>
      <c r="B6" t="s">
        <v>13</v>
      </c>
      <c r="C6" s="1" t="str">
        <f>IF(COUNTIF(Substitutas!$B:$B, B6) &gt; 0, "✅ Tenho", "❌ Faltando")</f>
        <v>❌ Faltando</v>
      </c>
      <c r="D6" s="1" t="str">
        <f>_xlfn.XLOOKUP(B6, Substitutas!$B:$B, Substitutas!$A:$A, "-")</f>
        <v>-</v>
      </c>
      <c r="G6" s="1">
        <f>COUNTIF(A:A,F6&amp;".xlsx")</f>
        <v>0</v>
      </c>
      <c r="H6" s="1" t="s">
        <v>229</v>
      </c>
      <c r="I6" s="1" t="s">
        <v>229</v>
      </c>
      <c r="J6" s="1" t="s">
        <v>234</v>
      </c>
      <c r="K6" s="1" t="s">
        <v>229</v>
      </c>
      <c r="L6" s="1" t="s">
        <v>229</v>
      </c>
      <c r="P6" s="1" t="str">
        <f t="shared" si="0"/>
        <v>1</v>
      </c>
    </row>
    <row r="7" spans="1:16" x14ac:dyDescent="0.25">
      <c r="A7" t="s">
        <v>608</v>
      </c>
      <c r="B7" t="s">
        <v>73</v>
      </c>
      <c r="C7" s="1" t="str">
        <f>IF(COUNTIF(Substitutas!$B:$B, B7) &gt; 0, "✅ Tenho", "❌ Faltando")</f>
        <v>❌ Faltando</v>
      </c>
      <c r="D7" s="1" t="str">
        <f>_xlfn.XLOOKUP(B7, Substitutas!$B:$B, Substitutas!$A:$A, "-")</f>
        <v>-</v>
      </c>
      <c r="G7" s="1">
        <f>COUNTIF(A:A,F7&amp;".xlsx")</f>
        <v>0</v>
      </c>
      <c r="H7" s="1" t="s">
        <v>229</v>
      </c>
      <c r="I7" s="1" t="s">
        <v>229</v>
      </c>
      <c r="J7" s="1" t="s">
        <v>229</v>
      </c>
      <c r="K7" s="1" t="s">
        <v>234</v>
      </c>
      <c r="L7" s="1" t="s">
        <v>229</v>
      </c>
      <c r="P7" s="1" t="str">
        <f t="shared" si="0"/>
        <v>1</v>
      </c>
    </row>
    <row r="8" spans="1:16" x14ac:dyDescent="0.25">
      <c r="A8" t="s">
        <v>609</v>
      </c>
      <c r="B8" t="s">
        <v>73</v>
      </c>
      <c r="C8" s="1" t="str">
        <f>IF(COUNTIF(Substitutas!$B:$B, B8) &gt; 0, "✅ Tenho", "❌ Faltando")</f>
        <v>❌ Faltando</v>
      </c>
      <c r="D8" s="1" t="str">
        <f>_xlfn.XLOOKUP(B8, Substitutas!$B:$B, Substitutas!$A:$A, "-")</f>
        <v>-</v>
      </c>
      <c r="G8" s="1">
        <f>COUNTIF(A:A,F8&amp;".xlsx")</f>
        <v>0</v>
      </c>
      <c r="H8" s="1" t="s">
        <v>229</v>
      </c>
      <c r="I8" s="1" t="s">
        <v>229</v>
      </c>
      <c r="J8" s="1" t="s">
        <v>229</v>
      </c>
      <c r="K8" s="1" t="s">
        <v>229</v>
      </c>
      <c r="L8" s="1" t="s">
        <v>234</v>
      </c>
      <c r="P8" s="1" t="str">
        <f t="shared" si="0"/>
        <v>1</v>
      </c>
    </row>
    <row r="9" spans="1:16" x14ac:dyDescent="0.25">
      <c r="A9" t="s">
        <v>620</v>
      </c>
      <c r="B9" t="s">
        <v>156</v>
      </c>
      <c r="C9" s="1" t="str">
        <f>IF(COUNTIF(Substitutas!$B:$B, B9) &gt; 0, "✅ Tenho", "❌ Faltando")</f>
        <v>❌ Faltando</v>
      </c>
      <c r="D9" s="1" t="str">
        <f>_xlfn.XLOOKUP(B9, Substitutas!$B:$B, Substitutas!$A:$A, "-")</f>
        <v>-</v>
      </c>
      <c r="F9" s="4" t="s">
        <v>322</v>
      </c>
      <c r="G9" s="1">
        <f>COUNTIF(A:A,F9&amp;".xlsx")</f>
        <v>11</v>
      </c>
      <c r="H9" s="1" t="s">
        <v>234</v>
      </c>
      <c r="I9" s="1" t="s">
        <v>234</v>
      </c>
      <c r="J9" s="1" t="s">
        <v>229</v>
      </c>
      <c r="K9" s="1" t="s">
        <v>229</v>
      </c>
      <c r="L9" s="1" t="s">
        <v>229</v>
      </c>
      <c r="P9" s="1" t="str">
        <f t="shared" si="0"/>
        <v>3</v>
      </c>
    </row>
    <row r="10" spans="1:16" x14ac:dyDescent="0.25">
      <c r="A10" t="s">
        <v>616</v>
      </c>
      <c r="B10" t="s">
        <v>134</v>
      </c>
      <c r="C10" s="1" t="str">
        <f>IF(COUNTIF(Substitutas!$B:$B, B10) &gt; 0, "✅ Tenho", "❌ Faltando")</f>
        <v>❌ Faltando</v>
      </c>
      <c r="D10" s="1" t="str">
        <f>_xlfn.XLOOKUP(B10, Substitutas!$B:$B, Substitutas!$A:$A, "-")</f>
        <v>-</v>
      </c>
      <c r="F10" s="4" t="s">
        <v>2722</v>
      </c>
      <c r="G10" s="1">
        <f>COUNTIF(A:A,F10&amp;".xlsx")</f>
        <v>75</v>
      </c>
      <c r="H10" s="1" t="s">
        <v>234</v>
      </c>
      <c r="I10" s="1" t="s">
        <v>229</v>
      </c>
      <c r="J10" s="1" t="s">
        <v>234</v>
      </c>
      <c r="K10" s="1" t="s">
        <v>229</v>
      </c>
      <c r="L10" s="1" t="s">
        <v>229</v>
      </c>
      <c r="M10" s="1" t="s">
        <v>844</v>
      </c>
      <c r="N10" s="1" t="s">
        <v>851</v>
      </c>
      <c r="O10" s="1" t="s">
        <v>2723</v>
      </c>
      <c r="P10" s="1" t="str">
        <f t="shared" si="0"/>
        <v>5</v>
      </c>
    </row>
    <row r="11" spans="1:16" x14ac:dyDescent="0.25">
      <c r="A11" t="s">
        <v>611</v>
      </c>
      <c r="B11" t="s">
        <v>83</v>
      </c>
      <c r="C11" s="1" t="str">
        <f>IF(COUNTIF(Substitutas!$B:$B, B11) &gt; 0, "✅ Tenho", "❌ Faltando")</f>
        <v>❌ Faltando</v>
      </c>
      <c r="D11" s="1" t="str">
        <f>_xlfn.XLOOKUP(B11, Substitutas!$B:$B, Substitutas!$A:$A, "-")</f>
        <v>-</v>
      </c>
      <c r="F11" s="4" t="s">
        <v>294</v>
      </c>
      <c r="G11" s="1">
        <f>COUNTIF(A:A,F11&amp;".xlsx")</f>
        <v>12</v>
      </c>
      <c r="H11" s="1" t="s">
        <v>234</v>
      </c>
      <c r="I11" s="1" t="s">
        <v>229</v>
      </c>
      <c r="J11" s="1" t="s">
        <v>234</v>
      </c>
      <c r="K11" s="1" t="s">
        <v>229</v>
      </c>
      <c r="L11" s="1" t="s">
        <v>229</v>
      </c>
      <c r="M11" s="1" t="s">
        <v>844</v>
      </c>
      <c r="N11" s="1" t="s">
        <v>283</v>
      </c>
      <c r="O11" s="1" t="s">
        <v>845</v>
      </c>
      <c r="P11" s="1" t="str">
        <f t="shared" ref="P11:P21" si="1">IF(G11&lt;6,"1",IF(G11&lt;11,"2",IF(G11&lt;16,"3",IF(G11&lt;31,"4","5"))))</f>
        <v>3</v>
      </c>
    </row>
    <row r="12" spans="1:16" x14ac:dyDescent="0.25">
      <c r="A12" t="s">
        <v>612</v>
      </c>
      <c r="B12" t="s">
        <v>83</v>
      </c>
      <c r="C12" s="1" t="str">
        <f>IF(COUNTIF(Substitutas!$B:$B, B12) &gt; 0, "✅ Tenho", "❌ Faltando")</f>
        <v>❌ Faltando</v>
      </c>
      <c r="D12" s="1" t="str">
        <f>_xlfn.XLOOKUP(B12, Substitutas!$B:$B, Substitutas!$A:$A, "-")</f>
        <v>-</v>
      </c>
      <c r="F12" s="4" t="s">
        <v>299</v>
      </c>
      <c r="G12" s="1">
        <f>COUNTIF(A:A,F12&amp;".xlsx")</f>
        <v>5</v>
      </c>
      <c r="H12" s="1" t="s">
        <v>234</v>
      </c>
      <c r="I12" s="1" t="s">
        <v>229</v>
      </c>
      <c r="J12" s="1" t="s">
        <v>229</v>
      </c>
      <c r="K12" s="1" t="s">
        <v>234</v>
      </c>
      <c r="L12" s="1" t="s">
        <v>229</v>
      </c>
      <c r="M12" s="1" t="s">
        <v>283</v>
      </c>
      <c r="N12" s="1" t="s">
        <v>846</v>
      </c>
      <c r="O12" s="1" t="s">
        <v>847</v>
      </c>
      <c r="P12" s="1" t="str">
        <f t="shared" si="1"/>
        <v>1</v>
      </c>
    </row>
    <row r="13" spans="1:16" x14ac:dyDescent="0.25">
      <c r="A13" t="s">
        <v>622</v>
      </c>
      <c r="B13" t="s">
        <v>83</v>
      </c>
      <c r="C13" s="1" t="str">
        <f>IF(COUNTIF(Substitutas!$B:$B, B13) &gt; 0, "✅ Tenho", "❌ Faltando")</f>
        <v>❌ Faltando</v>
      </c>
      <c r="D13" s="1" t="str">
        <f>_xlfn.XLOOKUP(B13, Substitutas!$B:$B, Substitutas!$A:$A, "-")</f>
        <v>-</v>
      </c>
      <c r="G13" s="1">
        <f>COUNTIF(A:A,F13&amp;".xlsx")</f>
        <v>0</v>
      </c>
      <c r="H13" s="1" t="s">
        <v>234</v>
      </c>
      <c r="I13" s="1" t="s">
        <v>229</v>
      </c>
      <c r="J13" s="1" t="s">
        <v>229</v>
      </c>
      <c r="K13" s="1" t="s">
        <v>229</v>
      </c>
      <c r="L13" s="1" t="s">
        <v>234</v>
      </c>
      <c r="P13" s="1" t="str">
        <f t="shared" si="1"/>
        <v>1</v>
      </c>
    </row>
    <row r="14" spans="1:16" x14ac:dyDescent="0.25">
      <c r="A14" t="s">
        <v>614</v>
      </c>
      <c r="B14" t="s">
        <v>110</v>
      </c>
      <c r="C14" s="1" t="str">
        <f>IF(COUNTIF(Substitutas!$B:$B, B14) &gt; 0, "✅ Tenho", "❌ Faltando")</f>
        <v>❌ Faltando</v>
      </c>
      <c r="D14" s="1" t="str">
        <f>_xlfn.XLOOKUP(B14, Substitutas!$B:$B, Substitutas!$A:$A, "-")</f>
        <v>-</v>
      </c>
      <c r="F14" s="4" t="s">
        <v>878</v>
      </c>
      <c r="G14" s="1">
        <f>COUNTIF(A:A,F14&amp;".xlsx")</f>
        <v>9</v>
      </c>
      <c r="H14" s="1" t="s">
        <v>229</v>
      </c>
      <c r="I14" s="1" t="s">
        <v>234</v>
      </c>
      <c r="J14" s="1" t="s">
        <v>234</v>
      </c>
      <c r="K14" s="1" t="s">
        <v>229</v>
      </c>
      <c r="L14" s="1" t="s">
        <v>229</v>
      </c>
      <c r="M14" s="1" t="s">
        <v>240</v>
      </c>
      <c r="N14" s="14" t="s">
        <v>844</v>
      </c>
      <c r="O14" s="1" t="s">
        <v>848</v>
      </c>
      <c r="P14" s="1" t="str">
        <f t="shared" si="1"/>
        <v>2</v>
      </c>
    </row>
    <row r="15" spans="1:16" x14ac:dyDescent="0.25">
      <c r="A15" t="s">
        <v>604</v>
      </c>
      <c r="B15" t="s">
        <v>37</v>
      </c>
      <c r="C15" s="1" t="str">
        <f>IF(COUNTIF(Substitutas!$B:$B, B15) &gt; 0, "✅ Tenho", "❌ Faltando")</f>
        <v>❌ Faltando</v>
      </c>
      <c r="D15" s="1" t="str">
        <f>_xlfn.XLOOKUP(B15, Substitutas!$B:$B, Substitutas!$A:$A, "-")</f>
        <v>-</v>
      </c>
      <c r="F15" s="4" t="s">
        <v>304</v>
      </c>
      <c r="G15" s="1">
        <f>COUNTIF(A:A,F15&amp;".xlsx")</f>
        <v>5</v>
      </c>
      <c r="H15" s="1" t="s">
        <v>229</v>
      </c>
      <c r="I15" s="1" t="s">
        <v>234</v>
      </c>
      <c r="J15" s="1" t="s">
        <v>234</v>
      </c>
      <c r="K15" s="1" t="s">
        <v>229</v>
      </c>
      <c r="L15" s="1" t="s">
        <v>229</v>
      </c>
      <c r="M15" s="1" t="s">
        <v>240</v>
      </c>
      <c r="N15" s="1" t="s">
        <v>844</v>
      </c>
      <c r="O15" s="1" t="s">
        <v>849</v>
      </c>
      <c r="P15" s="1" t="str">
        <f t="shared" si="1"/>
        <v>1</v>
      </c>
    </row>
    <row r="16" spans="1:16" x14ac:dyDescent="0.25">
      <c r="A16" t="s">
        <v>2808</v>
      </c>
      <c r="B16" t="s">
        <v>37</v>
      </c>
      <c r="C16" s="1" t="str">
        <f>IF(COUNTIF(Substitutas!$B:$B, B16) &gt; 0, "✅ Tenho", "❌ Faltando")</f>
        <v>❌ Faltando</v>
      </c>
      <c r="D16" s="1" t="str">
        <f>_xlfn.XLOOKUP(B16, Substitutas!$B:$B, Substitutas!$A:$A, "-")</f>
        <v>-</v>
      </c>
      <c r="F16" s="4" t="s">
        <v>317</v>
      </c>
      <c r="G16" s="1">
        <f>COUNTIF(A:A,F16&amp;".xlsx")</f>
        <v>9</v>
      </c>
      <c r="H16" s="1" t="s">
        <v>229</v>
      </c>
      <c r="I16" s="1" t="s">
        <v>234</v>
      </c>
      <c r="J16" s="1" t="s">
        <v>234</v>
      </c>
      <c r="K16" s="1" t="s">
        <v>229</v>
      </c>
      <c r="L16" s="1" t="s">
        <v>229</v>
      </c>
      <c r="M16" s="1" t="s">
        <v>283</v>
      </c>
      <c r="N16" s="1" t="s">
        <v>846</v>
      </c>
      <c r="O16" s="1" t="s">
        <v>2724</v>
      </c>
      <c r="P16" s="1" t="str">
        <f t="shared" si="1"/>
        <v>2</v>
      </c>
    </row>
    <row r="17" spans="1:16" x14ac:dyDescent="0.25">
      <c r="A17" t="s">
        <v>2616</v>
      </c>
      <c r="B17" t="s">
        <v>2627</v>
      </c>
      <c r="C17" s="1" t="str">
        <f>IF(COUNTIF(Substitutas!$B:$B, B17) &gt; 0, "✅ Tenho", "❌ Faltando")</f>
        <v>❌ Faltando</v>
      </c>
      <c r="D17" s="1" t="str">
        <f>_xlfn.XLOOKUP(B17, Substitutas!$B:$B, Substitutas!$A:$A, "-")</f>
        <v>-</v>
      </c>
      <c r="F17" s="4" t="s">
        <v>323</v>
      </c>
      <c r="G17" s="1">
        <f>COUNTIF(A:A,F17&amp;".xlsx")</f>
        <v>9</v>
      </c>
      <c r="H17" s="1" t="s">
        <v>229</v>
      </c>
      <c r="I17" s="1" t="s">
        <v>234</v>
      </c>
      <c r="J17" s="1" t="s">
        <v>229</v>
      </c>
      <c r="K17" s="1" t="s">
        <v>234</v>
      </c>
      <c r="L17" s="1" t="s">
        <v>229</v>
      </c>
      <c r="M17" s="1" t="s">
        <v>851</v>
      </c>
      <c r="N17" s="14" t="s">
        <v>330</v>
      </c>
      <c r="O17" s="1" t="s">
        <v>852</v>
      </c>
      <c r="P17" s="1" t="str">
        <f t="shared" si="1"/>
        <v>2</v>
      </c>
    </row>
    <row r="18" spans="1:16" x14ac:dyDescent="0.25">
      <c r="A18" t="s">
        <v>628</v>
      </c>
      <c r="B18" t="s">
        <v>180</v>
      </c>
      <c r="C18" s="1" t="str">
        <f>IF(COUNTIF(Substitutas!$B:$B, B18) &gt; 0, "✅ Tenho", "❌ Faltando")</f>
        <v>❌ Faltando</v>
      </c>
      <c r="D18" s="1" t="str">
        <f>_xlfn.XLOOKUP(B18, Substitutas!$B:$B, Substitutas!$A:$A, "-")</f>
        <v>-</v>
      </c>
      <c r="F18" s="4" t="s">
        <v>313</v>
      </c>
      <c r="G18" s="1">
        <f>COUNTIF(A:A,F18&amp;".xlsx")</f>
        <v>3</v>
      </c>
      <c r="H18" s="1" t="s">
        <v>229</v>
      </c>
      <c r="I18" s="1" t="s">
        <v>234</v>
      </c>
      <c r="J18" s="1" t="s">
        <v>229</v>
      </c>
      <c r="K18" s="1" t="s">
        <v>234</v>
      </c>
      <c r="L18" s="1" t="s">
        <v>229</v>
      </c>
      <c r="M18" s="1" t="s">
        <v>853</v>
      </c>
      <c r="N18" s="1" t="s">
        <v>844</v>
      </c>
      <c r="O18" s="1" t="s">
        <v>854</v>
      </c>
      <c r="P18" s="1" t="str">
        <f t="shared" si="1"/>
        <v>1</v>
      </c>
    </row>
    <row r="19" spans="1:16" x14ac:dyDescent="0.25">
      <c r="A19" t="s">
        <v>2808</v>
      </c>
      <c r="B19" t="s">
        <v>187</v>
      </c>
      <c r="C19" s="1" t="str">
        <f>IF(COUNTIF(Substitutas!$B:$B, B19) &gt; 0, "✅ Tenho", "❌ Faltando")</f>
        <v>❌ Faltando</v>
      </c>
      <c r="D19" s="1" t="str">
        <f>_xlfn.XLOOKUP(B19, Substitutas!$B:$B, Substitutas!$A:$A, "-")</f>
        <v>-</v>
      </c>
      <c r="F19" s="4" t="s">
        <v>307</v>
      </c>
      <c r="G19" s="1">
        <f>COUNTIF(A:A,F19&amp;".xlsx")</f>
        <v>0</v>
      </c>
      <c r="H19" s="1" t="s">
        <v>229</v>
      </c>
      <c r="I19" s="1" t="s">
        <v>234</v>
      </c>
      <c r="J19" s="1" t="s">
        <v>229</v>
      </c>
      <c r="K19" s="1" t="s">
        <v>229</v>
      </c>
      <c r="L19" s="1" t="s">
        <v>234</v>
      </c>
      <c r="M19" s="1" t="s">
        <v>844</v>
      </c>
      <c r="N19" s="1" t="s">
        <v>283</v>
      </c>
      <c r="O19" s="1" t="s">
        <v>855</v>
      </c>
      <c r="P19" s="1" t="str">
        <f t="shared" si="1"/>
        <v>1</v>
      </c>
    </row>
    <row r="20" spans="1:16" x14ac:dyDescent="0.25">
      <c r="A20" t="s">
        <v>629</v>
      </c>
      <c r="B20" t="s">
        <v>187</v>
      </c>
      <c r="C20" s="1" t="str">
        <f>IF(COUNTIF(Substitutas!$B:$B, B20) &gt; 0, "✅ Tenho", "❌ Faltando")</f>
        <v>❌ Faltando</v>
      </c>
      <c r="D20" s="1" t="str">
        <f>_xlfn.XLOOKUP(B20, Substitutas!$B:$B, Substitutas!$A:$A, "-")</f>
        <v>-</v>
      </c>
      <c r="G20" s="1">
        <f>COUNTIF(A:A,F20&amp;".xlsx")</f>
        <v>0</v>
      </c>
      <c r="H20" s="1" t="s">
        <v>229</v>
      </c>
      <c r="I20" s="1" t="s">
        <v>229</v>
      </c>
      <c r="J20" s="1" t="s">
        <v>234</v>
      </c>
      <c r="K20" s="1" t="s">
        <v>234</v>
      </c>
      <c r="L20" s="1" t="s">
        <v>229</v>
      </c>
      <c r="P20" s="1" t="str">
        <f t="shared" si="1"/>
        <v>1</v>
      </c>
    </row>
    <row r="21" spans="1:16" x14ac:dyDescent="0.25">
      <c r="A21" t="s">
        <v>614</v>
      </c>
      <c r="B21" t="s">
        <v>901</v>
      </c>
      <c r="C21" s="1" t="str">
        <f>IF(COUNTIF(Substitutas!$B:$B, B21) &gt; 0, "✅ Tenho", "❌ Faltando")</f>
        <v>❌ Faltando</v>
      </c>
      <c r="D21" s="1" t="str">
        <f>_xlfn.XLOOKUP(B21, Substitutas!$B:$B, Substitutas!$A:$A, "-")</f>
        <v>-</v>
      </c>
      <c r="G21" s="1">
        <f>COUNTIF(A:A,F21&amp;".xlsx")</f>
        <v>0</v>
      </c>
      <c r="H21" s="1" t="s">
        <v>229</v>
      </c>
      <c r="I21" s="1" t="s">
        <v>229</v>
      </c>
      <c r="J21" s="1" t="s">
        <v>234</v>
      </c>
      <c r="K21" s="1" t="s">
        <v>229</v>
      </c>
      <c r="L21" s="1" t="s">
        <v>234</v>
      </c>
      <c r="P21" s="1" t="str">
        <f t="shared" si="1"/>
        <v>1</v>
      </c>
    </row>
    <row r="22" spans="1:16" x14ac:dyDescent="0.25">
      <c r="A22" t="s">
        <v>1012</v>
      </c>
      <c r="B22" t="s">
        <v>901</v>
      </c>
      <c r="C22" s="1" t="str">
        <f>IF(COUNTIF(Substitutas!$B:$B, B22) &gt; 0, "✅ Tenho", "❌ Faltando")</f>
        <v>❌ Faltando</v>
      </c>
      <c r="D22" s="1" t="str">
        <f>_xlfn.XLOOKUP(B22, Substitutas!$B:$B, Substitutas!$A:$A, "-")</f>
        <v>-</v>
      </c>
      <c r="F22" s="4" t="s">
        <v>913</v>
      </c>
      <c r="G22" s="1">
        <f>COUNTIF(A:A,F22&amp;".xlsx")</f>
        <v>29</v>
      </c>
      <c r="H22" s="1" t="s">
        <v>229</v>
      </c>
      <c r="I22" s="1" t="s">
        <v>229</v>
      </c>
      <c r="J22" s="1" t="s">
        <v>229</v>
      </c>
      <c r="K22" s="1" t="s">
        <v>234</v>
      </c>
      <c r="L22" s="1" t="s">
        <v>234</v>
      </c>
      <c r="M22" s="1" t="s">
        <v>851</v>
      </c>
      <c r="N22" s="14" t="s">
        <v>844</v>
      </c>
      <c r="O22" s="1" t="s">
        <v>914</v>
      </c>
      <c r="P22" s="1" t="str">
        <f t="shared" ref="P22:P30" si="2">IF(G22&lt;6,"1",IF(G22&lt;11,"2",IF(G22&lt;16,"3",IF(G22&lt;31,"4","5"))))</f>
        <v>4</v>
      </c>
    </row>
    <row r="23" spans="1:16" x14ac:dyDescent="0.25">
      <c r="A23" t="s">
        <v>610</v>
      </c>
      <c r="B23" t="s">
        <v>890</v>
      </c>
      <c r="C23" s="1" t="str">
        <f>IF(COUNTIF(Substitutas!$B:$B, B23) &gt; 0, "✅ Tenho", "❌ Faltando")</f>
        <v>❌ Faltando</v>
      </c>
      <c r="D23" s="1" t="str">
        <f>_xlfn.XLOOKUP(B23, Substitutas!$B:$B, Substitutas!$A:$A, "-")</f>
        <v>-</v>
      </c>
      <c r="F23" s="4" t="s">
        <v>1105</v>
      </c>
      <c r="G23" s="1">
        <f>COUNTIF(A:A,F23&amp;".xlsx")</f>
        <v>19</v>
      </c>
      <c r="H23" s="1" t="s">
        <v>229</v>
      </c>
      <c r="I23" s="1" t="s">
        <v>229</v>
      </c>
      <c r="J23" s="1" t="s">
        <v>229</v>
      </c>
      <c r="K23" s="1" t="s">
        <v>234</v>
      </c>
      <c r="L23" s="1" t="s">
        <v>234</v>
      </c>
      <c r="M23" s="1" t="s">
        <v>844</v>
      </c>
      <c r="N23" s="14" t="s">
        <v>283</v>
      </c>
      <c r="O23" s="1" t="s">
        <v>1104</v>
      </c>
      <c r="P23" s="1" t="str">
        <f t="shared" si="2"/>
        <v>4</v>
      </c>
    </row>
    <row r="24" spans="1:16" x14ac:dyDescent="0.25">
      <c r="A24" t="s">
        <v>1045</v>
      </c>
      <c r="B24" t="s">
        <v>1061</v>
      </c>
      <c r="C24" s="1" t="str">
        <f>IF(COUNTIF(Substitutas!$B:$B, B24) &gt; 0, "✅ Tenho", "❌ Faltando")</f>
        <v>❌ Faltando</v>
      </c>
      <c r="D24" s="1" t="str">
        <f>_xlfn.XLOOKUP(B24, Substitutas!$B:$B, Substitutas!$A:$A, "-")</f>
        <v>-</v>
      </c>
      <c r="F24" s="4" t="s">
        <v>311</v>
      </c>
      <c r="G24" s="1">
        <f>COUNTIF(A:A,F24&amp;".xlsx")</f>
        <v>15</v>
      </c>
      <c r="H24" s="1" t="s">
        <v>234</v>
      </c>
      <c r="I24" s="1" t="s">
        <v>234</v>
      </c>
      <c r="J24" s="1" t="s">
        <v>234</v>
      </c>
      <c r="K24" s="1" t="s">
        <v>229</v>
      </c>
      <c r="L24" s="1" t="s">
        <v>229</v>
      </c>
      <c r="M24" s="1" t="s">
        <v>853</v>
      </c>
      <c r="N24" s="1" t="s">
        <v>844</v>
      </c>
      <c r="O24" s="1" t="s">
        <v>854</v>
      </c>
      <c r="P24" s="1" t="str">
        <f t="shared" si="2"/>
        <v>3</v>
      </c>
    </row>
    <row r="25" spans="1:16" x14ac:dyDescent="0.25">
      <c r="A25" t="s">
        <v>615</v>
      </c>
      <c r="B25" t="s">
        <v>2750</v>
      </c>
      <c r="C25" s="1" t="str">
        <f>IF(COUNTIF(Substitutas!$B:$B, B25) &gt; 0, "✅ Tenho", "❌ Faltando")</f>
        <v>❌ Faltando</v>
      </c>
      <c r="D25" s="1" t="str">
        <f>_xlfn.XLOOKUP(B25, Substitutas!$B:$B, Substitutas!$A:$A, "-")</f>
        <v>-</v>
      </c>
      <c r="F25" s="4" t="s">
        <v>324</v>
      </c>
      <c r="G25" s="1">
        <f>COUNTIF(A:A,F25&amp;".xlsx")</f>
        <v>1</v>
      </c>
      <c r="H25" s="1" t="s">
        <v>234</v>
      </c>
      <c r="I25" s="1" t="s">
        <v>234</v>
      </c>
      <c r="J25" s="1" t="s">
        <v>234</v>
      </c>
      <c r="K25" s="1" t="s">
        <v>229</v>
      </c>
      <c r="L25" s="1" t="s">
        <v>229</v>
      </c>
      <c r="M25" s="1" t="s">
        <v>846</v>
      </c>
      <c r="N25" s="1" t="s">
        <v>240</v>
      </c>
      <c r="O25" s="1" t="s">
        <v>856</v>
      </c>
      <c r="P25" s="1" t="str">
        <f t="shared" si="2"/>
        <v>1</v>
      </c>
    </row>
    <row r="26" spans="1:16" x14ac:dyDescent="0.25">
      <c r="A26" t="s">
        <v>617</v>
      </c>
      <c r="B26" t="s">
        <v>2750</v>
      </c>
      <c r="C26" s="1" t="str">
        <f>IF(COUNTIF(Substitutas!$B:$B, B26) &gt; 0, "✅ Tenho", "❌ Faltando")</f>
        <v>❌ Faltando</v>
      </c>
      <c r="D26" s="1" t="str">
        <f>_xlfn.XLOOKUP(B26, Substitutas!$B:$B, Substitutas!$A:$A, "-")</f>
        <v>-</v>
      </c>
      <c r="F26" s="4" t="s">
        <v>295</v>
      </c>
      <c r="G26" s="1">
        <f>COUNTIF(A:A,F26&amp;".xlsx")</f>
        <v>6</v>
      </c>
      <c r="H26" s="1" t="s">
        <v>234</v>
      </c>
      <c r="I26" s="1" t="s">
        <v>234</v>
      </c>
      <c r="J26" s="1" t="s">
        <v>229</v>
      </c>
      <c r="K26" s="1" t="s">
        <v>234</v>
      </c>
      <c r="L26" s="1" t="s">
        <v>229</v>
      </c>
      <c r="M26" s="1" t="s">
        <v>844</v>
      </c>
      <c r="N26" s="1" t="s">
        <v>283</v>
      </c>
      <c r="O26" s="1" t="s">
        <v>857</v>
      </c>
      <c r="P26" s="1" t="str">
        <f t="shared" si="2"/>
        <v>2</v>
      </c>
    </row>
    <row r="27" spans="1:16" x14ac:dyDescent="0.25">
      <c r="A27" t="s">
        <v>2808</v>
      </c>
      <c r="B27" t="s">
        <v>1708</v>
      </c>
      <c r="C27" s="1" t="str">
        <f>IF(COUNTIF(Substitutas!$B:$B, B27) &gt; 0, "✅ Tenho", "❌ Faltando")</f>
        <v>❌ Faltando</v>
      </c>
      <c r="D27" s="1" t="str">
        <f>_xlfn.XLOOKUP(B27, Substitutas!$B:$B, Substitutas!$A:$A, "-")</f>
        <v>-</v>
      </c>
      <c r="F27" s="4" t="s">
        <v>296</v>
      </c>
      <c r="G27" s="1">
        <f>COUNTIF(A:A,F27&amp;".xlsx")</f>
        <v>1</v>
      </c>
      <c r="H27" s="1" t="s">
        <v>234</v>
      </c>
      <c r="I27" s="1" t="s">
        <v>234</v>
      </c>
      <c r="J27" s="1" t="s">
        <v>229</v>
      </c>
      <c r="K27" s="1" t="s">
        <v>229</v>
      </c>
      <c r="L27" s="1" t="s">
        <v>234</v>
      </c>
      <c r="M27" s="1" t="s">
        <v>844</v>
      </c>
      <c r="N27" s="1" t="s">
        <v>283</v>
      </c>
      <c r="O27" s="1" t="s">
        <v>858</v>
      </c>
      <c r="P27" s="1" t="str">
        <f t="shared" si="2"/>
        <v>1</v>
      </c>
    </row>
    <row r="28" spans="1:16" x14ac:dyDescent="0.25">
      <c r="A28" t="s">
        <v>915</v>
      </c>
      <c r="B28" t="s">
        <v>923</v>
      </c>
      <c r="C28" s="1" t="str">
        <f>IF(COUNTIF(Substitutas!$B:$B, B28) &gt; 0, "✅ Tenho", "❌ Faltando")</f>
        <v>❌ Faltando</v>
      </c>
      <c r="D28" s="1" t="str">
        <f>_xlfn.XLOOKUP(B28, Substitutas!$B:$B, Substitutas!$A:$A, "-")</f>
        <v>-</v>
      </c>
      <c r="F28" s="4" t="s">
        <v>875</v>
      </c>
      <c r="G28" s="1">
        <f>COUNTIF(A:A,F28&amp;".xlsx")</f>
        <v>23</v>
      </c>
      <c r="H28" s="1" t="s">
        <v>234</v>
      </c>
      <c r="I28" s="1" t="s">
        <v>229</v>
      </c>
      <c r="J28" s="1" t="s">
        <v>234</v>
      </c>
      <c r="K28" s="1" t="s">
        <v>234</v>
      </c>
      <c r="L28" s="1" t="s">
        <v>229</v>
      </c>
      <c r="M28" s="1" t="s">
        <v>844</v>
      </c>
      <c r="N28" s="1" t="s">
        <v>851</v>
      </c>
      <c r="O28" s="1" t="s">
        <v>870</v>
      </c>
      <c r="P28" s="1" t="str">
        <f t="shared" si="2"/>
        <v>4</v>
      </c>
    </row>
    <row r="29" spans="1:16" x14ac:dyDescent="0.25">
      <c r="A29" t="s">
        <v>628</v>
      </c>
      <c r="B29" t="s">
        <v>176</v>
      </c>
      <c r="C29" s="1" t="str">
        <f>IF(COUNTIF(Substitutas!$B:$B, B29) &gt; 0, "✅ Tenho", "❌ Faltando")</f>
        <v>❌ Faltando</v>
      </c>
      <c r="D29" s="1" t="str">
        <f>_xlfn.XLOOKUP(B29, Substitutas!$B:$B, Substitutas!$A:$A, "-")</f>
        <v>-</v>
      </c>
      <c r="F29" s="4" t="s">
        <v>326</v>
      </c>
      <c r="G29" s="1">
        <f>COUNTIF(A:A,F29&amp;".xlsx")</f>
        <v>19</v>
      </c>
      <c r="H29" s="1" t="s">
        <v>234</v>
      </c>
      <c r="I29" s="1" t="s">
        <v>229</v>
      </c>
      <c r="J29" s="1" t="s">
        <v>234</v>
      </c>
      <c r="K29" s="1" t="s">
        <v>234</v>
      </c>
      <c r="L29" s="1" t="s">
        <v>229</v>
      </c>
      <c r="M29" s="1" t="s">
        <v>844</v>
      </c>
      <c r="N29" s="1" t="s">
        <v>283</v>
      </c>
      <c r="O29" s="1" t="s">
        <v>879</v>
      </c>
      <c r="P29" s="1" t="str">
        <f t="shared" si="2"/>
        <v>4</v>
      </c>
    </row>
    <row r="30" spans="1:16" x14ac:dyDescent="0.25">
      <c r="A30" t="s">
        <v>605</v>
      </c>
      <c r="B30" t="s">
        <v>53</v>
      </c>
      <c r="C30" s="1" t="str">
        <f>IF(COUNTIF(Substitutas!$B:$B, B30) &gt; 0, "✅ Tenho", "❌ Faltando")</f>
        <v>❌ Faltando</v>
      </c>
      <c r="D30" s="1" t="str">
        <f>_xlfn.XLOOKUP(B30, Substitutas!$B:$B, Substitutas!$A:$A, "-")</f>
        <v>-</v>
      </c>
      <c r="F30" s="4" t="s">
        <v>297</v>
      </c>
      <c r="G30" s="1">
        <f>COUNTIF(A:A,F30&amp;".xlsx")</f>
        <v>15</v>
      </c>
      <c r="H30" s="1" t="s">
        <v>234</v>
      </c>
      <c r="I30" s="1" t="s">
        <v>229</v>
      </c>
      <c r="J30" s="1" t="s">
        <v>234</v>
      </c>
      <c r="K30" s="1" t="s">
        <v>229</v>
      </c>
      <c r="L30" s="1" t="s">
        <v>234</v>
      </c>
      <c r="M30" s="1" t="s">
        <v>283</v>
      </c>
      <c r="N30" s="1" t="s">
        <v>844</v>
      </c>
      <c r="O30" s="1" t="s">
        <v>859</v>
      </c>
      <c r="P30" s="1" t="str">
        <f t="shared" si="2"/>
        <v>3</v>
      </c>
    </row>
    <row r="31" spans="1:16" x14ac:dyDescent="0.25">
      <c r="A31" t="s">
        <v>2808</v>
      </c>
      <c r="B31" t="s">
        <v>172</v>
      </c>
      <c r="C31" s="1" t="str">
        <f>IF(COUNTIF(Substitutas!$B:$B, B31) &gt; 0, "✅ Tenho", "❌ Faltando")</f>
        <v>❌ Faltando</v>
      </c>
      <c r="D31" s="1" t="str">
        <f>_xlfn.XLOOKUP(B31, Substitutas!$B:$B, Substitutas!$A:$A, "-")</f>
        <v>-</v>
      </c>
      <c r="F31" s="4" t="s">
        <v>912</v>
      </c>
      <c r="G31" s="1">
        <f>COUNTIF(A:A,F31&amp;".xlsx")</f>
        <v>10</v>
      </c>
      <c r="H31" s="1" t="s">
        <v>234</v>
      </c>
      <c r="I31" s="1" t="s">
        <v>229</v>
      </c>
      <c r="J31" s="1" t="s">
        <v>234</v>
      </c>
      <c r="K31" s="1" t="s">
        <v>229</v>
      </c>
      <c r="L31" s="1" t="s">
        <v>234</v>
      </c>
      <c r="M31" s="1" t="s">
        <v>844</v>
      </c>
      <c r="N31" s="14" t="s">
        <v>330</v>
      </c>
      <c r="O31" s="1" t="s">
        <v>860</v>
      </c>
      <c r="P31" s="1" t="str">
        <f t="shared" ref="P31:P36" si="3">IF(G31&lt;6,"1",IF(G31&lt;11,"2",IF(G31&lt;16,"3",IF(G31&lt;31,"4","5"))))</f>
        <v>2</v>
      </c>
    </row>
    <row r="32" spans="1:16" x14ac:dyDescent="0.25">
      <c r="A32" t="s">
        <v>953</v>
      </c>
      <c r="B32" t="s">
        <v>975</v>
      </c>
      <c r="C32" s="1" t="str">
        <f>IF(COUNTIF(Substitutas!$B:$B, B32) &gt; 0, "✅ Tenho", "❌ Faltando")</f>
        <v>❌ Faltando</v>
      </c>
      <c r="D32" s="1" t="str">
        <f>_xlfn.XLOOKUP(B32, Substitutas!$B:$B, Substitutas!$A:$A, "-")</f>
        <v>-</v>
      </c>
      <c r="G32" s="1">
        <f>COUNTIF(A:A,F32&amp;".xlsx")</f>
        <v>0</v>
      </c>
      <c r="H32" s="1" t="s">
        <v>234</v>
      </c>
      <c r="I32" s="1" t="s">
        <v>229</v>
      </c>
      <c r="J32" s="1" t="s">
        <v>229</v>
      </c>
      <c r="K32" s="1" t="s">
        <v>234</v>
      </c>
      <c r="L32" s="1" t="s">
        <v>234</v>
      </c>
      <c r="N32" s="14"/>
      <c r="P32" s="1" t="str">
        <f t="shared" si="3"/>
        <v>1</v>
      </c>
    </row>
    <row r="33" spans="1:16" x14ac:dyDescent="0.25">
      <c r="A33" t="s">
        <v>605</v>
      </c>
      <c r="B33" t="s">
        <v>52</v>
      </c>
      <c r="C33" s="1" t="str">
        <f>IF(COUNTIF(Substitutas!$B:$B, B33) &gt; 0, "✅ Tenho", "❌ Faltando")</f>
        <v>❌ Faltando</v>
      </c>
      <c r="D33" s="1" t="str">
        <f>_xlfn.XLOOKUP(B33, Substitutas!$B:$B, Substitutas!$A:$A, "-")</f>
        <v>-</v>
      </c>
      <c r="F33" s="4" t="s">
        <v>314</v>
      </c>
      <c r="G33" s="1">
        <f>COUNTIF(A:A,F33&amp;".xlsx")</f>
        <v>5</v>
      </c>
      <c r="H33" s="1" t="s">
        <v>234</v>
      </c>
      <c r="I33" s="1" t="s">
        <v>229</v>
      </c>
      <c r="J33" s="1" t="s">
        <v>229</v>
      </c>
      <c r="K33" s="1" t="s">
        <v>234</v>
      </c>
      <c r="L33" s="1" t="s">
        <v>234</v>
      </c>
      <c r="M33" s="1" t="s">
        <v>844</v>
      </c>
      <c r="N33" s="1" t="s">
        <v>846</v>
      </c>
      <c r="O33" s="1" t="s">
        <v>861</v>
      </c>
      <c r="P33" s="1" t="str">
        <f t="shared" si="3"/>
        <v>1</v>
      </c>
    </row>
    <row r="34" spans="1:16" x14ac:dyDescent="0.25">
      <c r="A34" t="s">
        <v>607</v>
      </c>
      <c r="B34" t="s">
        <v>60</v>
      </c>
      <c r="C34" s="1" t="str">
        <f>IF(COUNTIF(Substitutas!$B:$B, B34) &gt; 0, "✅ Tenho", "❌ Faltando")</f>
        <v>❌ Faltando</v>
      </c>
      <c r="D34" s="1" t="str">
        <f>_xlfn.XLOOKUP(B34, Substitutas!$B:$B, Substitutas!$A:$A, "-")</f>
        <v>-</v>
      </c>
      <c r="F34" s="4" t="s">
        <v>315</v>
      </c>
      <c r="G34" s="1">
        <f>COUNTIF(A:A,F34&amp;".xlsx")</f>
        <v>2</v>
      </c>
      <c r="H34" s="1" t="s">
        <v>229</v>
      </c>
      <c r="I34" s="1" t="s">
        <v>234</v>
      </c>
      <c r="J34" s="1" t="s">
        <v>234</v>
      </c>
      <c r="K34" s="1" t="s">
        <v>234</v>
      </c>
      <c r="L34" s="1" t="s">
        <v>229</v>
      </c>
      <c r="M34" s="1" t="s">
        <v>844</v>
      </c>
      <c r="N34" s="1" t="s">
        <v>240</v>
      </c>
      <c r="O34" s="1" t="s">
        <v>862</v>
      </c>
      <c r="P34" s="1" t="str">
        <f t="shared" si="3"/>
        <v>1</v>
      </c>
    </row>
    <row r="35" spans="1:16" x14ac:dyDescent="0.25">
      <c r="A35" t="s">
        <v>629</v>
      </c>
      <c r="B35" t="s">
        <v>181</v>
      </c>
      <c r="C35" s="1" t="str">
        <f>IF(COUNTIF(Substitutas!$B:$B, B35) &gt; 0, "✅ Tenho", "❌ Faltando")</f>
        <v>❌ Faltando</v>
      </c>
      <c r="D35" s="1" t="str">
        <f>_xlfn.XLOOKUP(B35, Substitutas!$B:$B, Substitutas!$A:$A, "-")</f>
        <v>-</v>
      </c>
      <c r="F35" s="4" t="s">
        <v>316</v>
      </c>
      <c r="G35" s="1">
        <f>COUNTIF(A:A,F35&amp;".xlsx")</f>
        <v>4</v>
      </c>
      <c r="H35" s="1" t="s">
        <v>229</v>
      </c>
      <c r="I35" s="1" t="s">
        <v>234</v>
      </c>
      <c r="J35" s="1" t="s">
        <v>234</v>
      </c>
      <c r="K35" s="1" t="s">
        <v>234</v>
      </c>
      <c r="L35" s="1" t="s">
        <v>229</v>
      </c>
      <c r="M35" s="1" t="s">
        <v>844</v>
      </c>
      <c r="N35" s="1" t="s">
        <v>283</v>
      </c>
      <c r="O35" s="1" t="s">
        <v>863</v>
      </c>
      <c r="P35" s="1" t="str">
        <f t="shared" si="3"/>
        <v>1</v>
      </c>
    </row>
    <row r="36" spans="1:16" x14ac:dyDescent="0.25">
      <c r="A36" t="s">
        <v>633</v>
      </c>
      <c r="B36" t="s">
        <v>181</v>
      </c>
      <c r="C36" s="1" t="str">
        <f>IF(COUNTIF(Substitutas!$B:$B, B36) &gt; 0, "✅ Tenho", "❌ Faltando")</f>
        <v>❌ Faltando</v>
      </c>
      <c r="D36" s="1" t="str">
        <f>_xlfn.XLOOKUP(B36, Substitutas!$B:$B, Substitutas!$A:$A, "-")</f>
        <v>-</v>
      </c>
      <c r="F36" s="4" t="s">
        <v>303</v>
      </c>
      <c r="G36" s="1">
        <f>COUNTIF(A:A,F36&amp;".xlsx")</f>
        <v>13</v>
      </c>
      <c r="H36" s="1" t="s">
        <v>229</v>
      </c>
      <c r="I36" s="1" t="s">
        <v>234</v>
      </c>
      <c r="J36" s="1" t="s">
        <v>234</v>
      </c>
      <c r="K36" s="1" t="s">
        <v>234</v>
      </c>
      <c r="L36" s="1" t="s">
        <v>229</v>
      </c>
      <c r="M36" s="1" t="s">
        <v>240</v>
      </c>
      <c r="N36" s="1" t="s">
        <v>846</v>
      </c>
      <c r="O36" s="1" t="s">
        <v>864</v>
      </c>
      <c r="P36" s="1" t="str">
        <f t="shared" si="3"/>
        <v>3</v>
      </c>
    </row>
    <row r="37" spans="1:16" x14ac:dyDescent="0.25">
      <c r="A37" t="s">
        <v>633</v>
      </c>
      <c r="B37" t="s">
        <v>1155</v>
      </c>
      <c r="C37" s="1" t="str">
        <f>IF(COUNTIF(Substitutas!$B:$B, B37) &gt; 0, "✅ Tenho", "❌ Faltando")</f>
        <v>❌ Faltando</v>
      </c>
      <c r="D37" s="1" t="str">
        <f>_xlfn.XLOOKUP(B37, Substitutas!$B:$B, Substitutas!$A:$A, "-")</f>
        <v>-</v>
      </c>
      <c r="G37" s="1">
        <f>COUNTIF(A:A,F37&amp;".xlsx")</f>
        <v>0</v>
      </c>
      <c r="H37" s="1" t="s">
        <v>229</v>
      </c>
      <c r="I37" s="1" t="s">
        <v>234</v>
      </c>
      <c r="J37" s="1" t="s">
        <v>234</v>
      </c>
      <c r="K37" s="1" t="s">
        <v>229</v>
      </c>
      <c r="L37" s="1" t="s">
        <v>234</v>
      </c>
      <c r="P37" s="1" t="str">
        <f>IF(G37&lt;6,"1",IF(G37&lt;11,"2",IF(G37&lt;16,"3",IF(G37&lt;31,"4","5"))))</f>
        <v>1</v>
      </c>
    </row>
    <row r="38" spans="1:16" x14ac:dyDescent="0.25">
      <c r="A38" t="s">
        <v>953</v>
      </c>
      <c r="B38" t="s">
        <v>956</v>
      </c>
      <c r="C38" s="1" t="str">
        <f>IF(COUNTIF(Substitutas!$B:$B, B38) &gt; 0, "✅ Tenho", "❌ Faltando")</f>
        <v>❌ Faltando</v>
      </c>
      <c r="D38" s="1" t="str">
        <f>_xlfn.XLOOKUP(B38, Substitutas!$B:$B, Substitutas!$A:$A, "-")</f>
        <v>-</v>
      </c>
      <c r="F38" s="4" t="s">
        <v>877</v>
      </c>
      <c r="G38" s="1">
        <f>COUNTIF(A:A,F38&amp;".xlsx")</f>
        <v>8</v>
      </c>
      <c r="H38" s="1" t="s">
        <v>229</v>
      </c>
      <c r="I38" s="1" t="s">
        <v>234</v>
      </c>
      <c r="J38" s="1" t="s">
        <v>229</v>
      </c>
      <c r="K38" s="1" t="s">
        <v>234</v>
      </c>
      <c r="L38" s="1" t="s">
        <v>234</v>
      </c>
      <c r="M38" s="1" t="s">
        <v>844</v>
      </c>
      <c r="N38" s="14" t="s">
        <v>330</v>
      </c>
      <c r="O38" s="1" t="s">
        <v>876</v>
      </c>
      <c r="P38" s="1" t="str">
        <f t="shared" ref="P38:P46" si="4">IF(G38&lt;6,"1",IF(G38&lt;11,"2",IF(G38&lt;16,"3",IF(G38&lt;31,"4","5"))))</f>
        <v>2</v>
      </c>
    </row>
    <row r="39" spans="1:16" x14ac:dyDescent="0.25">
      <c r="A39" t="s">
        <v>620</v>
      </c>
      <c r="B39" t="s">
        <v>621</v>
      </c>
      <c r="C39" s="1" t="str">
        <f>IF(COUNTIF(Substitutas!$B:$B, B39) &gt; 0, "✅ Tenho", "❌ Faltando")</f>
        <v>❌ Faltando</v>
      </c>
      <c r="D39" s="1" t="str">
        <f>_xlfn.XLOOKUP(B39, Substitutas!$B:$B, Substitutas!$A:$A, "-")</f>
        <v>-</v>
      </c>
      <c r="F39" s="4" t="s">
        <v>325</v>
      </c>
      <c r="G39" s="1">
        <f>COUNTIF(A:A,F39&amp;".xlsx")</f>
        <v>7</v>
      </c>
      <c r="H39" s="1" t="s">
        <v>229</v>
      </c>
      <c r="I39" s="1" t="s">
        <v>234</v>
      </c>
      <c r="J39" s="1" t="s">
        <v>229</v>
      </c>
      <c r="K39" s="1" t="s">
        <v>234</v>
      </c>
      <c r="L39" s="1" t="s">
        <v>234</v>
      </c>
      <c r="M39" s="1" t="s">
        <v>844</v>
      </c>
      <c r="N39" s="1" t="s">
        <v>846</v>
      </c>
      <c r="O39" s="1" t="s">
        <v>865</v>
      </c>
      <c r="P39" s="1" t="str">
        <f t="shared" si="4"/>
        <v>2</v>
      </c>
    </row>
    <row r="40" spans="1:16" x14ac:dyDescent="0.25">
      <c r="A40" t="s">
        <v>915</v>
      </c>
      <c r="B40" t="s">
        <v>917</v>
      </c>
      <c r="C40" s="1" t="str">
        <f>IF(COUNTIF(Substitutas!$B:$B, B40) &gt; 0, "✅ Tenho", "❌ Faltando")</f>
        <v>❌ Faltando</v>
      </c>
      <c r="D40" s="1" t="str">
        <f>_xlfn.XLOOKUP(B40, Substitutas!$B:$B, Substitutas!$A:$A, "-")</f>
        <v>-</v>
      </c>
      <c r="F40" s="4" t="s">
        <v>300</v>
      </c>
      <c r="G40" s="1">
        <f>COUNTIF(A:A,F40&amp;".xlsx")</f>
        <v>8</v>
      </c>
      <c r="H40" s="1" t="s">
        <v>229</v>
      </c>
      <c r="I40" s="1" t="s">
        <v>234</v>
      </c>
      <c r="J40" s="1" t="s">
        <v>229</v>
      </c>
      <c r="K40" s="1" t="s">
        <v>234</v>
      </c>
      <c r="L40" s="1" t="s">
        <v>234</v>
      </c>
      <c r="M40" s="1" t="s">
        <v>240</v>
      </c>
      <c r="N40" s="1" t="s">
        <v>844</v>
      </c>
      <c r="O40" s="1" t="s">
        <v>866</v>
      </c>
      <c r="P40" s="1" t="str">
        <f t="shared" si="4"/>
        <v>2</v>
      </c>
    </row>
    <row r="41" spans="1:16" x14ac:dyDescent="0.25">
      <c r="A41" t="s">
        <v>633</v>
      </c>
      <c r="B41" t="s">
        <v>647</v>
      </c>
      <c r="C41" s="1" t="str">
        <f>IF(COUNTIF(Substitutas!$B:$B, B41) &gt; 0, "✅ Tenho", "❌ Faltando")</f>
        <v>❌ Faltando</v>
      </c>
      <c r="D41" s="1" t="str">
        <f>_xlfn.XLOOKUP(B41, Substitutas!$B:$B, Substitutas!$A:$A, "-")</f>
        <v>-</v>
      </c>
      <c r="F41" s="4" t="s">
        <v>306</v>
      </c>
      <c r="G41" s="1">
        <f>COUNTIF(A:A,F41&amp;".xlsx")</f>
        <v>7</v>
      </c>
      <c r="H41" s="1" t="s">
        <v>229</v>
      </c>
      <c r="I41" s="1" t="s">
        <v>229</v>
      </c>
      <c r="J41" s="1" t="s">
        <v>234</v>
      </c>
      <c r="K41" s="1" t="s">
        <v>234</v>
      </c>
      <c r="L41" s="1" t="s">
        <v>234</v>
      </c>
      <c r="M41" s="1" t="s">
        <v>283</v>
      </c>
      <c r="N41" s="1" t="s">
        <v>846</v>
      </c>
      <c r="O41" s="1" t="s">
        <v>850</v>
      </c>
      <c r="P41" s="1" t="str">
        <f t="shared" si="4"/>
        <v>2</v>
      </c>
    </row>
    <row r="42" spans="1:16" x14ac:dyDescent="0.25">
      <c r="A42" t="s">
        <v>2808</v>
      </c>
      <c r="B42" t="s">
        <v>741</v>
      </c>
      <c r="C42" s="1" t="str">
        <f>IF(COUNTIF(Substitutas!$B:$B, B42) &gt; 0, "✅ Tenho", "❌ Faltando")</f>
        <v>✅ Tenho</v>
      </c>
      <c r="D42" s="1" t="str">
        <f>_xlfn.XLOOKUP(B42, Substitutas!$B:$B, Substitutas!$A:$A, "-")</f>
        <v>Sisay.xlsx</v>
      </c>
      <c r="F42" s="4" t="s">
        <v>312</v>
      </c>
      <c r="G42" s="1">
        <f>COUNTIF(A:A,F42&amp;".xlsx")</f>
        <v>4</v>
      </c>
      <c r="H42" s="1" t="s">
        <v>229</v>
      </c>
      <c r="I42" s="1" t="s">
        <v>229</v>
      </c>
      <c r="J42" s="1" t="s">
        <v>234</v>
      </c>
      <c r="K42" s="1" t="s">
        <v>234</v>
      </c>
      <c r="L42" s="1" t="s">
        <v>234</v>
      </c>
      <c r="M42" s="1" t="s">
        <v>851</v>
      </c>
      <c r="N42" s="1" t="s">
        <v>844</v>
      </c>
      <c r="O42" s="14" t="s">
        <v>867</v>
      </c>
      <c r="P42" s="1" t="str">
        <f t="shared" si="4"/>
        <v>1</v>
      </c>
    </row>
    <row r="43" spans="1:16" x14ac:dyDescent="0.25">
      <c r="A43" t="s">
        <v>1045</v>
      </c>
      <c r="B43" t="s">
        <v>1057</v>
      </c>
      <c r="C43" s="1" t="str">
        <f>IF(COUNTIF(Substitutas!$B:$B, B43) &gt; 0, "✅ Tenho", "❌ Faltando")</f>
        <v>❌ Faltando</v>
      </c>
      <c r="D43" s="1" t="str">
        <f>_xlfn.XLOOKUP(B43, Substitutas!$B:$B, Substitutas!$A:$A, "-")</f>
        <v>-</v>
      </c>
      <c r="F43" s="4" t="s">
        <v>321</v>
      </c>
      <c r="G43" s="1">
        <f>COUNTIF(A:A,F43&amp;".xlsx")</f>
        <v>9</v>
      </c>
      <c r="H43" s="1" t="s">
        <v>234</v>
      </c>
      <c r="I43" s="1" t="s">
        <v>234</v>
      </c>
      <c r="J43" s="1" t="s">
        <v>234</v>
      </c>
      <c r="K43" s="1" t="s">
        <v>234</v>
      </c>
      <c r="L43" s="1" t="s">
        <v>229</v>
      </c>
      <c r="M43" s="1" t="s">
        <v>851</v>
      </c>
      <c r="N43" s="1" t="s">
        <v>283</v>
      </c>
      <c r="O43" s="1" t="s">
        <v>868</v>
      </c>
      <c r="P43" s="1" t="str">
        <f t="shared" si="4"/>
        <v>2</v>
      </c>
    </row>
    <row r="44" spans="1:16" x14ac:dyDescent="0.25">
      <c r="A44" t="s">
        <v>2616</v>
      </c>
      <c r="B44" t="s">
        <v>2656</v>
      </c>
      <c r="C44" s="1" t="str">
        <f>IF(COUNTIF(Substitutas!$B:$B, B44) &gt; 0, "✅ Tenho", "❌ Faltando")</f>
        <v>❌ Faltando</v>
      </c>
      <c r="D44" s="1" t="str">
        <f>_xlfn.XLOOKUP(B44, Substitutas!$B:$B, Substitutas!$A:$A, "-")</f>
        <v>-</v>
      </c>
      <c r="F44" s="4" t="s">
        <v>298</v>
      </c>
      <c r="G44" s="1">
        <f>COUNTIF(A:A,F44&amp;".xlsx")</f>
        <v>2</v>
      </c>
      <c r="H44" s="1" t="s">
        <v>234</v>
      </c>
      <c r="I44" s="1" t="s">
        <v>234</v>
      </c>
      <c r="J44" s="1" t="s">
        <v>234</v>
      </c>
      <c r="K44" s="1" t="s">
        <v>234</v>
      </c>
      <c r="L44" s="1" t="s">
        <v>229</v>
      </c>
      <c r="M44" s="1" t="s">
        <v>844</v>
      </c>
      <c r="N44" s="1" t="s">
        <v>846</v>
      </c>
      <c r="O44" s="1" t="s">
        <v>869</v>
      </c>
      <c r="P44" s="1" t="str">
        <f t="shared" si="4"/>
        <v>1</v>
      </c>
    </row>
    <row r="45" spans="1:16" x14ac:dyDescent="0.25">
      <c r="A45" t="s">
        <v>601</v>
      </c>
      <c r="B45" t="s">
        <v>15</v>
      </c>
      <c r="C45" s="1" t="str">
        <f>IF(COUNTIF(Substitutas!$B:$B, B45) &gt; 0, "✅ Tenho", "❌ Faltando")</f>
        <v>❌ Faltando</v>
      </c>
      <c r="D45" s="1" t="str">
        <f>_xlfn.XLOOKUP(B45, Substitutas!$B:$B, Substitutas!$A:$A, "-")</f>
        <v>-</v>
      </c>
      <c r="F45" s="4" t="s">
        <v>320</v>
      </c>
      <c r="G45" s="1">
        <f>COUNTIF(A:A,F45&amp;".xlsx")</f>
        <v>1</v>
      </c>
      <c r="H45" s="1" t="s">
        <v>234</v>
      </c>
      <c r="I45" s="1" t="s">
        <v>234</v>
      </c>
      <c r="J45" s="1" t="s">
        <v>234</v>
      </c>
      <c r="K45" s="1" t="s">
        <v>229</v>
      </c>
      <c r="L45" s="1" t="s">
        <v>234</v>
      </c>
      <c r="M45" s="1" t="s">
        <v>240</v>
      </c>
      <c r="N45" s="1" t="s">
        <v>283</v>
      </c>
      <c r="O45" s="1" t="s">
        <v>843</v>
      </c>
      <c r="P45" s="1" t="str">
        <f t="shared" si="4"/>
        <v>1</v>
      </c>
    </row>
    <row r="46" spans="1:16" x14ac:dyDescent="0.25">
      <c r="A46" t="s">
        <v>613</v>
      </c>
      <c r="B46" t="s">
        <v>15</v>
      </c>
      <c r="C46" s="1" t="str">
        <f>IF(COUNTIF(Substitutas!$B:$B, B46) &gt; 0, "✅ Tenho", "❌ Faltando")</f>
        <v>❌ Faltando</v>
      </c>
      <c r="D46" s="1" t="str">
        <f>_xlfn.XLOOKUP(B46, Substitutas!$B:$B, Substitutas!$A:$A, "-")</f>
        <v>-</v>
      </c>
      <c r="G46" s="1">
        <f>COUNTIF(A:A,F46&amp;".xlsx")</f>
        <v>0</v>
      </c>
      <c r="H46" s="1" t="s">
        <v>234</v>
      </c>
      <c r="I46" s="1" t="s">
        <v>234</v>
      </c>
      <c r="J46" s="1" t="s">
        <v>229</v>
      </c>
      <c r="K46" s="1" t="s">
        <v>234</v>
      </c>
      <c r="L46" s="1" t="s">
        <v>234</v>
      </c>
      <c r="P46" s="1" t="str">
        <f t="shared" si="4"/>
        <v>1</v>
      </c>
    </row>
    <row r="47" spans="1:16" x14ac:dyDescent="0.25">
      <c r="A47" t="s">
        <v>915</v>
      </c>
      <c r="B47" t="s">
        <v>15</v>
      </c>
      <c r="C47" s="1" t="str">
        <f>IF(COUNTIF(Substitutas!$B:$B, B47) &gt; 0, "✅ Tenho", "❌ Faltando")</f>
        <v>❌ Faltando</v>
      </c>
      <c r="D47" s="1" t="str">
        <f>_xlfn.XLOOKUP(B47, Substitutas!$B:$B, Substitutas!$A:$A, "-")</f>
        <v>-</v>
      </c>
      <c r="F47" s="4" t="s">
        <v>634</v>
      </c>
      <c r="G47" s="1">
        <f>COUNTIF(A:A,F47&amp;".xlsx")</f>
        <v>10</v>
      </c>
      <c r="H47" s="1" t="s">
        <v>229</v>
      </c>
      <c r="I47" s="1" t="s">
        <v>234</v>
      </c>
      <c r="J47" s="1" t="s">
        <v>234</v>
      </c>
      <c r="K47" s="1" t="s">
        <v>234</v>
      </c>
      <c r="L47" s="1" t="s">
        <v>234</v>
      </c>
      <c r="M47" s="1" t="s">
        <v>851</v>
      </c>
      <c r="N47" s="1" t="s">
        <v>871</v>
      </c>
      <c r="O47" s="1" t="s">
        <v>872</v>
      </c>
      <c r="P47" s="1" t="str">
        <f>IF(G47&lt;6,"1",IF(G47&lt;11,"2",IF(G47&lt;16,"3",IF(G47&lt;31,"4","5"))))</f>
        <v>2</v>
      </c>
    </row>
    <row r="48" spans="1:16" x14ac:dyDescent="0.25">
      <c r="A48" t="s">
        <v>2808</v>
      </c>
      <c r="B48" t="s">
        <v>2688</v>
      </c>
      <c r="C48" s="1" t="str">
        <f>IF(COUNTIF(Substitutas!$B:$B, B48) &gt; 0, "✅ Tenho", "❌ Faltando")</f>
        <v>❌ Faltando</v>
      </c>
      <c r="D48" s="1" t="str">
        <f>_xlfn.XLOOKUP(B48, Substitutas!$B:$B, Substitutas!$A:$A, "-")</f>
        <v>-</v>
      </c>
      <c r="F48" s="4" t="s">
        <v>318</v>
      </c>
      <c r="G48" s="1">
        <f>COUNTIF(A:A,F48&amp;".xlsx")</f>
        <v>9</v>
      </c>
      <c r="H48" s="1" t="s">
        <v>234</v>
      </c>
      <c r="I48" s="1" t="s">
        <v>234</v>
      </c>
      <c r="J48" s="1" t="s">
        <v>234</v>
      </c>
      <c r="K48" s="1" t="s">
        <v>234</v>
      </c>
      <c r="L48" s="1" t="s">
        <v>234</v>
      </c>
      <c r="M48" s="1" t="s">
        <v>844</v>
      </c>
      <c r="N48" s="1" t="s">
        <v>846</v>
      </c>
      <c r="O48" s="1" t="s">
        <v>873</v>
      </c>
      <c r="P48" s="1" t="str">
        <f>IF(G48&lt;6,"1",IF(G48&lt;11,"2",IF(G48&lt;16,"3",IF(G48&lt;31,"4","5"))))</f>
        <v>2</v>
      </c>
    </row>
    <row r="49" spans="1:16" x14ac:dyDescent="0.25">
      <c r="A49" t="s">
        <v>605</v>
      </c>
      <c r="B49" t="s">
        <v>793</v>
      </c>
      <c r="C49" s="1" t="str">
        <f>IF(COUNTIF(Substitutas!$B:$B, B49) &gt; 0, "✅ Tenho", "❌ Faltando")</f>
        <v>❌ Faltando</v>
      </c>
      <c r="D49" s="1" t="str">
        <f>_xlfn.XLOOKUP(B49, Substitutas!$B:$B, Substitutas!$A:$A, "-")</f>
        <v>-</v>
      </c>
      <c r="F49" s="4" t="s">
        <v>301</v>
      </c>
      <c r="G49" s="1">
        <f>COUNTIF(A:A,F49&amp;".xlsx")</f>
        <v>14</v>
      </c>
      <c r="H49" s="1" t="s">
        <v>234</v>
      </c>
      <c r="I49" s="1" t="s">
        <v>234</v>
      </c>
      <c r="J49" s="1" t="s">
        <v>234</v>
      </c>
      <c r="K49" s="1" t="s">
        <v>234</v>
      </c>
      <c r="L49" s="1" t="s">
        <v>234</v>
      </c>
      <c r="M49" s="1" t="s">
        <v>844</v>
      </c>
      <c r="N49" s="1" t="s">
        <v>283</v>
      </c>
      <c r="O49" s="1" t="s">
        <v>874</v>
      </c>
      <c r="P49" s="1" t="str">
        <f>IF(G49&lt;6,"1",IF(G49&lt;11,"2",IF(G49&lt;16,"3",IF(G49&lt;31,"4","5"))))</f>
        <v>3</v>
      </c>
    </row>
    <row r="50" spans="1:16" x14ac:dyDescent="0.25">
      <c r="A50" t="s">
        <v>2616</v>
      </c>
      <c r="B50" t="s">
        <v>2646</v>
      </c>
      <c r="C50" s="1" t="str">
        <f>IF(COUNTIF(Substitutas!$B:$B, B50) &gt; 0, "✅ Tenho", "❌ Faltando")</f>
        <v>❌ Faltando</v>
      </c>
      <c r="D50" s="1" t="str">
        <f>_xlfn.XLOOKUP(B50, Substitutas!$B:$B, Substitutas!$A:$A, "-")</f>
        <v>-</v>
      </c>
      <c r="F50" s="4" t="s">
        <v>952</v>
      </c>
      <c r="G50" s="1">
        <f>COUNTIF(A:A,F50&amp;".xlsx")</f>
        <v>27</v>
      </c>
      <c r="H50" s="1" t="s">
        <v>234</v>
      </c>
      <c r="I50" s="1" t="s">
        <v>234</v>
      </c>
      <c r="J50" s="1" t="s">
        <v>234</v>
      </c>
      <c r="K50" s="1" t="s">
        <v>234</v>
      </c>
      <c r="L50" s="1" t="s">
        <v>234</v>
      </c>
      <c r="M50" s="1" t="s">
        <v>283</v>
      </c>
      <c r="N50" s="1" t="s">
        <v>851</v>
      </c>
      <c r="O50" s="1" t="s">
        <v>951</v>
      </c>
      <c r="P50" s="1" t="str">
        <f>IF(G50&lt;6,"1",IF(G50&lt;11,"2",IF(G50&lt;16,"3",IF(G50&lt;31,"4","5"))))</f>
        <v>4</v>
      </c>
    </row>
    <row r="51" spans="1:16" x14ac:dyDescent="0.25">
      <c r="A51" t="s">
        <v>633</v>
      </c>
      <c r="B51" t="s">
        <v>209</v>
      </c>
      <c r="C51" s="1" t="str">
        <f>IF(COUNTIF(Substitutas!$B:$B, B51) &gt; 0, "✅ Tenho", "❌ Faltando")</f>
        <v>❌ Faltando</v>
      </c>
      <c r="D51" s="1" t="str">
        <f>_xlfn.XLOOKUP(B51, Substitutas!$B:$B, Substitutas!$A:$A, "-")</f>
        <v>-</v>
      </c>
    </row>
    <row r="52" spans="1:16" x14ac:dyDescent="0.25">
      <c r="A52" t="s">
        <v>632</v>
      </c>
      <c r="B52" t="s">
        <v>112</v>
      </c>
      <c r="C52" s="1" t="str">
        <f>IF(COUNTIF(Substitutas!$B:$B, B52) &gt; 0, "✅ Tenho", "❌ Faltando")</f>
        <v>❌ Faltando</v>
      </c>
      <c r="D52" s="1" t="str">
        <f>_xlfn.XLOOKUP(B52, Substitutas!$B:$B, Substitutas!$A:$A, "-")</f>
        <v>-</v>
      </c>
    </row>
    <row r="53" spans="1:16" x14ac:dyDescent="0.25">
      <c r="A53" t="s">
        <v>614</v>
      </c>
      <c r="B53" t="s">
        <v>36</v>
      </c>
      <c r="C53" s="1" t="str">
        <f>IF(COUNTIF(Substitutas!$B:$B, B53) &gt; 0, "✅ Tenho", "❌ Faltando")</f>
        <v>❌ Faltando</v>
      </c>
      <c r="D53" s="1" t="str">
        <f>_xlfn.XLOOKUP(B53, Substitutas!$B:$B, Substitutas!$A:$A, "-")</f>
        <v>-</v>
      </c>
    </row>
    <row r="54" spans="1:16" x14ac:dyDescent="0.25">
      <c r="A54" t="s">
        <v>915</v>
      </c>
      <c r="B54" t="s">
        <v>934</v>
      </c>
      <c r="C54" s="1" t="str">
        <f>IF(COUNTIF(Substitutas!$B:$B, B54) &gt; 0, "✅ Tenho", "❌ Faltando")</f>
        <v>❌ Faltando</v>
      </c>
      <c r="D54" s="1" t="str">
        <f>_xlfn.XLOOKUP(B54, Substitutas!$B:$B, Substitutas!$A:$A, "-")</f>
        <v>-</v>
      </c>
    </row>
    <row r="55" spans="1:16" x14ac:dyDescent="0.25">
      <c r="A55" t="s">
        <v>607</v>
      </c>
      <c r="B55" t="s">
        <v>2735</v>
      </c>
      <c r="C55" s="1" t="str">
        <f>IF(COUNTIF(Substitutas!$B:$B, B55) &gt; 0, "✅ Tenho", "❌ Faltando")</f>
        <v>❌ Faltando</v>
      </c>
      <c r="D55" s="1" t="str">
        <f>_xlfn.XLOOKUP(B55, Substitutas!$B:$B, Substitutas!$A:$A, "-")</f>
        <v>-</v>
      </c>
    </row>
    <row r="56" spans="1:16" x14ac:dyDescent="0.25">
      <c r="A56" t="s">
        <v>2616</v>
      </c>
      <c r="B56" t="s">
        <v>2682</v>
      </c>
      <c r="C56" s="1" t="str">
        <f>IF(COUNTIF(Substitutas!$B:$B, B56) &gt; 0, "✅ Tenho", "❌ Faltando")</f>
        <v>❌ Faltando</v>
      </c>
      <c r="D56" s="1" t="str">
        <f>_xlfn.XLOOKUP(B56, Substitutas!$B:$B, Substitutas!$A:$A, "-")</f>
        <v>-</v>
      </c>
    </row>
    <row r="57" spans="1:16" x14ac:dyDescent="0.25">
      <c r="A57" t="s">
        <v>601</v>
      </c>
      <c r="B57" t="s">
        <v>16</v>
      </c>
      <c r="C57" s="1" t="str">
        <f>IF(COUNTIF(Substitutas!$B:$B, B57) &gt; 0, "✅ Tenho", "❌ Faltando")</f>
        <v>❌ Faltando</v>
      </c>
      <c r="D57" s="1" t="str">
        <f>_xlfn.XLOOKUP(B57, Substitutas!$B:$B, Substitutas!$A:$A, "-")</f>
        <v>-</v>
      </c>
    </row>
    <row r="58" spans="1:16" x14ac:dyDescent="0.25">
      <c r="A58" t="s">
        <v>613</v>
      </c>
      <c r="B58" t="s">
        <v>16</v>
      </c>
      <c r="C58" s="1" t="str">
        <f>IF(COUNTIF(Substitutas!$B:$B, B58) &gt; 0, "✅ Tenho", "❌ Faltando")</f>
        <v>❌ Faltando</v>
      </c>
      <c r="D58" s="1" t="str">
        <f>_xlfn.XLOOKUP(B58, Substitutas!$B:$B, Substitutas!$A:$A, "-")</f>
        <v>-</v>
      </c>
    </row>
    <row r="59" spans="1:16" x14ac:dyDescent="0.25">
      <c r="A59" t="s">
        <v>1045</v>
      </c>
      <c r="B59" t="s">
        <v>1064</v>
      </c>
      <c r="C59" s="1" t="str">
        <f>IF(COUNTIF(Substitutas!$B:$B, B59) &gt; 0, "✅ Tenho", "❌ Faltando")</f>
        <v>❌ Faltando</v>
      </c>
      <c r="D59" s="1" t="str">
        <f>_xlfn.XLOOKUP(B59, Substitutas!$B:$B, Substitutas!$A:$A, "-")</f>
        <v>-</v>
      </c>
    </row>
    <row r="60" spans="1:16" x14ac:dyDescent="0.25">
      <c r="A60" t="s">
        <v>608</v>
      </c>
      <c r="B60" t="s">
        <v>484</v>
      </c>
      <c r="C60" s="1" t="str">
        <f>IF(COUNTIF(Substitutas!$B:$B, B60) &gt; 0, "✅ Tenho", "❌ Faltando")</f>
        <v>❌ Faltando</v>
      </c>
      <c r="D60" s="1" t="str">
        <f>_xlfn.XLOOKUP(B60, Substitutas!$B:$B, Substitutas!$A:$A, "-")</f>
        <v>-</v>
      </c>
    </row>
    <row r="61" spans="1:16" x14ac:dyDescent="0.25">
      <c r="A61" t="s">
        <v>627</v>
      </c>
      <c r="B61" t="s">
        <v>2777</v>
      </c>
      <c r="C61" s="1" t="str">
        <f>IF(COUNTIF(Substitutas!$B:$B, B61) &gt; 0, "✅ Tenho", "❌ Faltando")</f>
        <v>❌ Faltando</v>
      </c>
      <c r="D61" s="1" t="str">
        <f>_xlfn.XLOOKUP(B61, Substitutas!$B:$B, Substitutas!$A:$A, "-")</f>
        <v>-</v>
      </c>
    </row>
    <row r="62" spans="1:16" x14ac:dyDescent="0.25">
      <c r="A62" t="s">
        <v>915</v>
      </c>
      <c r="B62" t="s">
        <v>932</v>
      </c>
      <c r="C62" s="1" t="str">
        <f>IF(COUNTIF(Substitutas!$B:$B, B62) &gt; 0, "✅ Tenho", "❌ Faltando")</f>
        <v>❌ Faltando</v>
      </c>
      <c r="D62" s="1" t="str">
        <f>_xlfn.XLOOKUP(B62, Substitutas!$B:$B, Substitutas!$A:$A, "-")</f>
        <v>-</v>
      </c>
    </row>
    <row r="63" spans="1:16" x14ac:dyDescent="0.25">
      <c r="A63" t="s">
        <v>601</v>
      </c>
      <c r="B63" t="s">
        <v>4</v>
      </c>
      <c r="C63" s="1" t="str">
        <f>IF(COUNTIF(Substitutas!$B:$B, B63) &gt; 0, "✅ Tenho", "❌ Faltando")</f>
        <v>❌ Faltando</v>
      </c>
      <c r="D63" s="1" t="str">
        <f>_xlfn.XLOOKUP(B63, Substitutas!$B:$B, Substitutas!$A:$A, "-")</f>
        <v>-</v>
      </c>
    </row>
    <row r="64" spans="1:16" x14ac:dyDescent="0.25">
      <c r="A64" t="s">
        <v>610</v>
      </c>
      <c r="B64" t="s">
        <v>4</v>
      </c>
      <c r="C64" s="1" t="str">
        <f>IF(COUNTIF(Substitutas!$B:$B, B64) &gt; 0, "✅ Tenho", "❌ Faltando")</f>
        <v>❌ Faltando</v>
      </c>
      <c r="D64" s="1" t="str">
        <f>_xlfn.XLOOKUP(B64, Substitutas!$B:$B, Substitutas!$A:$A, "-")</f>
        <v>-</v>
      </c>
    </row>
    <row r="65" spans="1:4" x14ac:dyDescent="0.25">
      <c r="A65" t="s">
        <v>635</v>
      </c>
      <c r="B65" t="s">
        <v>4</v>
      </c>
      <c r="C65" s="1" t="str">
        <f>IF(COUNTIF(Substitutas!$B:$B, B65) &gt; 0, "✅ Tenho", "❌ Faltando")</f>
        <v>❌ Faltando</v>
      </c>
      <c r="D65" s="1" t="str">
        <f>_xlfn.XLOOKUP(B65, Substitutas!$B:$B, Substitutas!$A:$A, "-")</f>
        <v>-</v>
      </c>
    </row>
    <row r="66" spans="1:4" x14ac:dyDescent="0.25">
      <c r="A66" t="s">
        <v>915</v>
      </c>
      <c r="B66" t="s">
        <v>4</v>
      </c>
      <c r="C66" s="1" t="str">
        <f>IF(COUNTIF(Substitutas!$B:$B, B66) &gt; 0, "✅ Tenho", "❌ Faltando")</f>
        <v>❌ Faltando</v>
      </c>
      <c r="D66" s="1" t="str">
        <f>_xlfn.XLOOKUP(B66, Substitutas!$B:$B, Substitutas!$A:$A, "-")</f>
        <v>-</v>
      </c>
    </row>
    <row r="67" spans="1:4" x14ac:dyDescent="0.25">
      <c r="A67" t="s">
        <v>633</v>
      </c>
      <c r="B67" t="s">
        <v>215</v>
      </c>
      <c r="C67" s="1" t="str">
        <f>IF(COUNTIF(Substitutas!$B:$B, B67) &gt; 0, "✅ Tenho", "❌ Faltando")</f>
        <v>❌ Faltando</v>
      </c>
      <c r="D67" s="1" t="str">
        <f>_xlfn.XLOOKUP(B67, Substitutas!$B:$B, Substitutas!$A:$A, "-")</f>
        <v>-</v>
      </c>
    </row>
    <row r="68" spans="1:4" x14ac:dyDescent="0.25">
      <c r="A68" t="s">
        <v>2616</v>
      </c>
      <c r="B68" t="s">
        <v>2629</v>
      </c>
      <c r="C68" s="1" t="str">
        <f>IF(COUNTIF(Substitutas!$B:$B, B68) &gt; 0, "✅ Tenho", "❌ Faltando")</f>
        <v>❌ Faltando</v>
      </c>
      <c r="D68" s="1" t="str">
        <f>_xlfn.XLOOKUP(B68, Substitutas!$B:$B, Substitutas!$A:$A, "-")</f>
        <v>-</v>
      </c>
    </row>
    <row r="69" spans="1:4" x14ac:dyDescent="0.25">
      <c r="A69" t="s">
        <v>953</v>
      </c>
      <c r="B69" t="s">
        <v>957</v>
      </c>
      <c r="C69" s="1" t="str">
        <f>IF(COUNTIF(Substitutas!$B:$B, B69) &gt; 0, "✅ Tenho", "❌ Faltando")</f>
        <v>❌ Faltando</v>
      </c>
      <c r="D69" s="1" t="str">
        <f>_xlfn.XLOOKUP(B69, Substitutas!$B:$B, Substitutas!$A:$A, "-")</f>
        <v>-</v>
      </c>
    </row>
    <row r="70" spans="1:4" x14ac:dyDescent="0.25">
      <c r="A70" t="s">
        <v>616</v>
      </c>
      <c r="B70" t="s">
        <v>137</v>
      </c>
      <c r="C70" s="1" t="str">
        <f>IF(COUNTIF(Substitutas!$B:$B, B70) &gt; 0, "✅ Tenho", "❌ Faltando")</f>
        <v>❌ Faltando</v>
      </c>
      <c r="D70" s="1" t="str">
        <f>_xlfn.XLOOKUP(B70, Substitutas!$B:$B, Substitutas!$A:$A, "-")</f>
        <v>-</v>
      </c>
    </row>
    <row r="71" spans="1:4" x14ac:dyDescent="0.25">
      <c r="A71" t="s">
        <v>627</v>
      </c>
      <c r="B71" t="s">
        <v>779</v>
      </c>
      <c r="C71" s="1" t="str">
        <f>IF(COUNTIF(Substitutas!$B:$B, B71) &gt; 0, "✅ Tenho", "❌ Faltando")</f>
        <v>❌ Faltando</v>
      </c>
      <c r="D71" s="1" t="str">
        <f>_xlfn.XLOOKUP(B71, Substitutas!$B:$B, Substitutas!$A:$A, "-")</f>
        <v>-</v>
      </c>
    </row>
    <row r="72" spans="1:4" x14ac:dyDescent="0.25">
      <c r="A72" t="s">
        <v>619</v>
      </c>
      <c r="B72" t="s">
        <v>154</v>
      </c>
      <c r="C72" s="1" t="str">
        <f>IF(COUNTIF(Substitutas!$B:$B, B72) &gt; 0, "✅ Tenho", "❌ Faltando")</f>
        <v>❌ Faltando</v>
      </c>
      <c r="D72" s="1" t="str">
        <f>_xlfn.XLOOKUP(B72, Substitutas!$B:$B, Substitutas!$A:$A, "-")</f>
        <v>-</v>
      </c>
    </row>
    <row r="73" spans="1:4" x14ac:dyDescent="0.25">
      <c r="A73" t="s">
        <v>953</v>
      </c>
      <c r="B73" t="s">
        <v>989</v>
      </c>
      <c r="C73" s="1" t="str">
        <f>IF(COUNTIF(Substitutas!$B:$B, B73) &gt; 0, "✅ Tenho", "❌ Faltando")</f>
        <v>❌ Faltando</v>
      </c>
      <c r="D73" s="1" t="str">
        <f>_xlfn.XLOOKUP(B73, Substitutas!$B:$B, Substitutas!$A:$A, "-")</f>
        <v>-</v>
      </c>
    </row>
    <row r="74" spans="1:4" x14ac:dyDescent="0.25">
      <c r="A74" t="s">
        <v>605</v>
      </c>
      <c r="B74" t="s">
        <v>40</v>
      </c>
      <c r="C74" s="1" t="str">
        <f>IF(COUNTIF(Substitutas!$B:$B, B74) &gt; 0, "✅ Tenho", "❌ Faltando")</f>
        <v>❌ Faltando</v>
      </c>
      <c r="D74" s="1" t="str">
        <f>_xlfn.XLOOKUP(B74, Substitutas!$B:$B, Substitutas!$A:$A, "-")</f>
        <v>-</v>
      </c>
    </row>
    <row r="75" spans="1:4" x14ac:dyDescent="0.25">
      <c r="A75" t="s">
        <v>613</v>
      </c>
      <c r="B75" t="s">
        <v>94</v>
      </c>
      <c r="C75" s="1" t="str">
        <f>IF(COUNTIF(Substitutas!$B:$B, B75) &gt; 0, "✅ Tenho", "❌ Faltando")</f>
        <v>❌ Faltando</v>
      </c>
      <c r="D75" s="1" t="str">
        <f>_xlfn.XLOOKUP(B75, Substitutas!$B:$B, Substitutas!$A:$A, "-")</f>
        <v>-</v>
      </c>
    </row>
    <row r="76" spans="1:4" x14ac:dyDescent="0.25">
      <c r="A76" t="s">
        <v>632</v>
      </c>
      <c r="B76" t="s">
        <v>205</v>
      </c>
      <c r="C76" s="1" t="str">
        <f>IF(COUNTIF(Substitutas!$B:$B, B76) &gt; 0, "✅ Tenho", "❌ Faltando")</f>
        <v>❌ Faltando</v>
      </c>
      <c r="D76" s="1" t="str">
        <f>_xlfn.XLOOKUP(B76, Substitutas!$B:$B, Substitutas!$A:$A, "-")</f>
        <v>-</v>
      </c>
    </row>
    <row r="77" spans="1:4" x14ac:dyDescent="0.25">
      <c r="A77" t="s">
        <v>2616</v>
      </c>
      <c r="B77" t="s">
        <v>2827</v>
      </c>
      <c r="C77" s="1" t="str">
        <f>IF(COUNTIF(Substitutas!$B:$B, B77) &gt; 0, "✅ Tenho", "❌ Faltando")</f>
        <v>❌ Faltando</v>
      </c>
      <c r="D77" s="1" t="str">
        <f>_xlfn.XLOOKUP(B77, Substitutas!$B:$B, Substitutas!$A:$A, "-")</f>
        <v>-</v>
      </c>
    </row>
    <row r="78" spans="1:4" x14ac:dyDescent="0.25">
      <c r="A78" t="s">
        <v>614</v>
      </c>
      <c r="B78" t="s">
        <v>1009</v>
      </c>
      <c r="C78" s="1" t="str">
        <f>IF(COUNTIF(Substitutas!$B:$B, B78) &gt; 0, "✅ Tenho", "❌ Faltando")</f>
        <v>❌ Faltando</v>
      </c>
      <c r="D78" s="1" t="str">
        <f>_xlfn.XLOOKUP(B78, Substitutas!$B:$B, Substitutas!$A:$A, "-")</f>
        <v>-</v>
      </c>
    </row>
    <row r="79" spans="1:4" x14ac:dyDescent="0.25">
      <c r="A79" t="s">
        <v>1012</v>
      </c>
      <c r="B79" t="s">
        <v>1020</v>
      </c>
      <c r="C79" s="1" t="str">
        <f>IF(COUNTIF(Substitutas!$B:$B, B79) &gt; 0, "✅ Tenho", "❌ Faltando")</f>
        <v>❌ Faltando</v>
      </c>
      <c r="D79" s="1" t="str">
        <f>_xlfn.XLOOKUP(B79, Substitutas!$B:$B, Substitutas!$A:$A, "-")</f>
        <v>-</v>
      </c>
    </row>
    <row r="80" spans="1:4" x14ac:dyDescent="0.25">
      <c r="A80" t="s">
        <v>609</v>
      </c>
      <c r="B80" t="s">
        <v>72</v>
      </c>
      <c r="C80" s="1" t="str">
        <f>IF(COUNTIF(Substitutas!$B:$B, B80) &gt; 0, "✅ Tenho", "❌ Faltando")</f>
        <v>❌ Faltando</v>
      </c>
      <c r="D80" s="1" t="str">
        <f>_xlfn.XLOOKUP(B80, Substitutas!$B:$B, Substitutas!$A:$A, "-")</f>
        <v>-</v>
      </c>
    </row>
    <row r="81" spans="1:4" x14ac:dyDescent="0.25">
      <c r="A81" t="s">
        <v>614</v>
      </c>
      <c r="B81" t="s">
        <v>102</v>
      </c>
      <c r="C81" s="1" t="str">
        <f>IF(COUNTIF(Substitutas!$B:$B, B81) &gt; 0, "✅ Tenho", "❌ Faltando")</f>
        <v>❌ Faltando</v>
      </c>
      <c r="D81" s="1" t="str">
        <f>_xlfn.XLOOKUP(B81, Substitutas!$B:$B, Substitutas!$A:$A, "-")</f>
        <v>-</v>
      </c>
    </row>
    <row r="82" spans="1:4" x14ac:dyDescent="0.25">
      <c r="A82" t="s">
        <v>2616</v>
      </c>
      <c r="B82" t="s">
        <v>2675</v>
      </c>
      <c r="C82" s="1" t="str">
        <f>IF(COUNTIF(Substitutas!$B:$B, B82) &gt; 0, "✅ Tenho", "❌ Faltando")</f>
        <v>❌ Faltando</v>
      </c>
      <c r="D82" s="1" t="str">
        <f>_xlfn.XLOOKUP(B82, Substitutas!$B:$B, Substitutas!$A:$A, "-")</f>
        <v>-</v>
      </c>
    </row>
    <row r="83" spans="1:4" x14ac:dyDescent="0.25">
      <c r="A83" t="s">
        <v>613</v>
      </c>
      <c r="B83" t="s">
        <v>96</v>
      </c>
      <c r="C83" s="1" t="str">
        <f>IF(COUNTIF(Substitutas!$B:$B, B83) &gt; 0, "✅ Tenho", "❌ Faltando")</f>
        <v>❌ Faltando</v>
      </c>
      <c r="D83" s="1" t="str">
        <f>_xlfn.XLOOKUP(B83, Substitutas!$B:$B, Substitutas!$A:$A, "-")</f>
        <v>-</v>
      </c>
    </row>
    <row r="84" spans="1:4" x14ac:dyDescent="0.25">
      <c r="A84" t="s">
        <v>614</v>
      </c>
      <c r="B84" t="s">
        <v>1042</v>
      </c>
      <c r="C84" s="1" t="str">
        <f>IF(COUNTIF(Substitutas!$B:$B, B84) &gt; 0, "✅ Tenho", "❌ Faltando")</f>
        <v>❌ Faltando</v>
      </c>
      <c r="D84" s="1" t="str">
        <f>_xlfn.XLOOKUP(B84, Substitutas!$B:$B, Substitutas!$A:$A, "-")</f>
        <v>-</v>
      </c>
    </row>
    <row r="85" spans="1:4" x14ac:dyDescent="0.25">
      <c r="A85" t="s">
        <v>602</v>
      </c>
      <c r="B85" t="s">
        <v>24</v>
      </c>
      <c r="C85" s="1" t="str">
        <f>IF(COUNTIF(Substitutas!$B:$B, B85) &gt; 0, "✅ Tenho", "❌ Faltando")</f>
        <v>❌ Faltando</v>
      </c>
      <c r="D85" s="1" t="str">
        <f>_xlfn.XLOOKUP(B85, Substitutas!$B:$B, Substitutas!$A:$A, "-")</f>
        <v>-</v>
      </c>
    </row>
    <row r="86" spans="1:4" x14ac:dyDescent="0.25">
      <c r="A86" t="s">
        <v>915</v>
      </c>
      <c r="B86" t="s">
        <v>928</v>
      </c>
      <c r="C86" s="1" t="str">
        <f>IF(COUNTIF(Substitutas!$B:$B, B86) &gt; 0, "✅ Tenho", "❌ Faltando")</f>
        <v>❌ Faltando</v>
      </c>
      <c r="D86" s="1" t="str">
        <f>_xlfn.XLOOKUP(B86, Substitutas!$B:$B, Substitutas!$A:$A, "-")</f>
        <v>-</v>
      </c>
    </row>
    <row r="87" spans="1:4" x14ac:dyDescent="0.25">
      <c r="A87" t="s">
        <v>605</v>
      </c>
      <c r="B87" t="s">
        <v>48</v>
      </c>
      <c r="C87" s="1" t="str">
        <f>IF(COUNTIF(Substitutas!$B:$B, B87) &gt; 0, "✅ Tenho", "❌ Faltando")</f>
        <v>❌ Faltando</v>
      </c>
      <c r="D87" s="1" t="str">
        <f>_xlfn.XLOOKUP(B87, Substitutas!$B:$B, Substitutas!$A:$A, "-")</f>
        <v>-</v>
      </c>
    </row>
    <row r="88" spans="1:4" x14ac:dyDescent="0.25">
      <c r="A88" t="s">
        <v>602</v>
      </c>
      <c r="B88" t="s">
        <v>26</v>
      </c>
      <c r="C88" s="1" t="str">
        <f>IF(COUNTIF(Substitutas!$B:$B, B88) &gt; 0, "✅ Tenho", "❌ Faltando")</f>
        <v>❌ Faltando</v>
      </c>
      <c r="D88" s="1" t="str">
        <f>_xlfn.XLOOKUP(B88, Substitutas!$B:$B, Substitutas!$A:$A, "-")</f>
        <v>-</v>
      </c>
    </row>
    <row r="89" spans="1:4" x14ac:dyDescent="0.25">
      <c r="A89" t="s">
        <v>831</v>
      </c>
      <c r="B89" t="s">
        <v>893</v>
      </c>
      <c r="C89" s="1" t="str">
        <f>IF(COUNTIF(Substitutas!$B:$B, B89) &gt; 0, "✅ Tenho", "❌ Faltando")</f>
        <v>❌ Faltando</v>
      </c>
      <c r="D89" s="1" t="str">
        <f>_xlfn.XLOOKUP(B89, Substitutas!$B:$B, Substitutas!$A:$A, "-")</f>
        <v>-</v>
      </c>
    </row>
    <row r="90" spans="1:4" x14ac:dyDescent="0.25">
      <c r="A90" t="s">
        <v>2616</v>
      </c>
      <c r="B90" t="s">
        <v>2664</v>
      </c>
      <c r="C90" s="1" t="str">
        <f>IF(COUNTIF(Substitutas!$B:$B, B90) &gt; 0, "✅ Tenho", "❌ Faltando")</f>
        <v>❌ Faltando</v>
      </c>
      <c r="D90" s="1" t="str">
        <f>_xlfn.XLOOKUP(B90, Substitutas!$B:$B, Substitutas!$A:$A, "-")</f>
        <v>-</v>
      </c>
    </row>
    <row r="91" spans="1:4" x14ac:dyDescent="0.25">
      <c r="A91" t="s">
        <v>627</v>
      </c>
      <c r="B91" t="s">
        <v>2775</v>
      </c>
      <c r="C91" s="1" t="str">
        <f>IF(COUNTIF(Substitutas!$B:$B, B91) &gt; 0, "✅ Tenho", "❌ Faltando")</f>
        <v>❌ Faltando</v>
      </c>
      <c r="D91" s="1" t="str">
        <f>_xlfn.XLOOKUP(B91, Substitutas!$B:$B, Substitutas!$A:$A, "-")</f>
        <v>-</v>
      </c>
    </row>
    <row r="92" spans="1:4" x14ac:dyDescent="0.25">
      <c r="A92" t="s">
        <v>2616</v>
      </c>
      <c r="B92" t="s">
        <v>1116</v>
      </c>
      <c r="C92" s="1" t="str">
        <f>IF(COUNTIF(Substitutas!$B:$B, B92) &gt; 0, "✅ Tenho", "❌ Faltando")</f>
        <v>❌ Faltando</v>
      </c>
      <c r="D92" s="1" t="str">
        <f>_xlfn.XLOOKUP(B92, Substitutas!$B:$B, Substitutas!$A:$A, "-")</f>
        <v>-</v>
      </c>
    </row>
    <row r="93" spans="1:4" x14ac:dyDescent="0.25">
      <c r="A93" t="s">
        <v>623</v>
      </c>
      <c r="B93" t="s">
        <v>164</v>
      </c>
      <c r="C93" s="1" t="str">
        <f>IF(COUNTIF(Substitutas!$B:$B, B93) &gt; 0, "✅ Tenho", "❌ Faltando")</f>
        <v>❌ Faltando</v>
      </c>
      <c r="D93" s="1" t="str">
        <f>_xlfn.XLOOKUP(B93, Substitutas!$B:$B, Substitutas!$A:$A, "-")</f>
        <v>-</v>
      </c>
    </row>
    <row r="94" spans="1:4" x14ac:dyDescent="0.25">
      <c r="A94" t="s">
        <v>616</v>
      </c>
      <c r="B94" t="s">
        <v>2754</v>
      </c>
      <c r="C94" s="1" t="str">
        <f>IF(COUNTIF(Substitutas!$B:$B, B94) &gt; 0, "✅ Tenho", "❌ Faltando")</f>
        <v>❌ Faltando</v>
      </c>
      <c r="D94" s="1" t="str">
        <f>_xlfn.XLOOKUP(B94, Substitutas!$B:$B, Substitutas!$A:$A, "-")</f>
        <v>-</v>
      </c>
    </row>
    <row r="95" spans="1:4" x14ac:dyDescent="0.25">
      <c r="A95" t="s">
        <v>831</v>
      </c>
      <c r="B95" t="s">
        <v>888</v>
      </c>
      <c r="C95" s="1" t="str">
        <f>IF(COUNTIF(Substitutas!$B:$B, B95) &gt; 0, "✅ Tenho", "❌ Faltando")</f>
        <v>❌ Faltando</v>
      </c>
      <c r="D95" s="1" t="str">
        <f>_xlfn.XLOOKUP(B95, Substitutas!$B:$B, Substitutas!$A:$A, "-")</f>
        <v>-</v>
      </c>
    </row>
    <row r="96" spans="1:4" x14ac:dyDescent="0.25">
      <c r="A96" t="s">
        <v>915</v>
      </c>
      <c r="B96" t="s">
        <v>888</v>
      </c>
      <c r="C96" s="1" t="str">
        <f>IF(COUNTIF(Substitutas!$B:$B, B96) &gt; 0, "✅ Tenho", "❌ Faltando")</f>
        <v>❌ Faltando</v>
      </c>
      <c r="D96" s="1" t="str">
        <f>_xlfn.XLOOKUP(B96, Substitutas!$B:$B, Substitutas!$A:$A, "-")</f>
        <v>-</v>
      </c>
    </row>
    <row r="97" spans="1:4" x14ac:dyDescent="0.25">
      <c r="A97" t="s">
        <v>2616</v>
      </c>
      <c r="B97" t="s">
        <v>1429</v>
      </c>
      <c r="C97" s="1" t="str">
        <f>IF(COUNTIF(Substitutas!$B:$B, B97) &gt; 0, "✅ Tenho", "❌ Faltando")</f>
        <v>❌ Faltando</v>
      </c>
      <c r="D97" s="1" t="str">
        <f>_xlfn.XLOOKUP(B97, Substitutas!$B:$B, Substitutas!$A:$A, "-")</f>
        <v>-</v>
      </c>
    </row>
    <row r="98" spans="1:4" x14ac:dyDescent="0.25">
      <c r="A98" t="s">
        <v>610</v>
      </c>
      <c r="B98" t="s">
        <v>804</v>
      </c>
      <c r="C98" s="1" t="str">
        <f>IF(COUNTIF(Substitutas!$B:$B, B98) &gt; 0, "✅ Tenho", "❌ Faltando")</f>
        <v>❌ Faltando</v>
      </c>
      <c r="D98" s="1" t="str">
        <f>_xlfn.XLOOKUP(B98, Substitutas!$B:$B, Substitutas!$A:$A, "-")</f>
        <v>-</v>
      </c>
    </row>
    <row r="99" spans="1:4" x14ac:dyDescent="0.25">
      <c r="A99" t="s">
        <v>2616</v>
      </c>
      <c r="B99" t="s">
        <v>2727</v>
      </c>
      <c r="C99" s="1" t="str">
        <f>IF(COUNTIF(Substitutas!$B:$B, B99) &gt; 0, "✅ Tenho", "❌ Faltando")</f>
        <v>❌ Faltando</v>
      </c>
      <c r="D99" s="1" t="str">
        <f>_xlfn.XLOOKUP(B99, Substitutas!$B:$B, Substitutas!$A:$A, "-")</f>
        <v>-</v>
      </c>
    </row>
    <row r="100" spans="1:4" x14ac:dyDescent="0.25">
      <c r="A100" t="s">
        <v>953</v>
      </c>
      <c r="B100" t="s">
        <v>970</v>
      </c>
      <c r="C100" s="1" t="str">
        <f>IF(COUNTIF(Substitutas!$B:$B, B100) &gt; 0, "✅ Tenho", "❌ Faltando")</f>
        <v>❌ Faltando</v>
      </c>
      <c r="D100" s="1" t="str">
        <f>_xlfn.XLOOKUP(B100, Substitutas!$B:$B, Substitutas!$A:$A, "-")</f>
        <v>-</v>
      </c>
    </row>
    <row r="101" spans="1:4" x14ac:dyDescent="0.25">
      <c r="A101" t="s">
        <v>1012</v>
      </c>
      <c r="B101" t="s">
        <v>970</v>
      </c>
      <c r="C101" s="1" t="str">
        <f>IF(COUNTIF(Substitutas!$B:$B, B101) &gt; 0, "✅ Tenho", "❌ Faltando")</f>
        <v>❌ Faltando</v>
      </c>
      <c r="D101" s="1" t="str">
        <f>_xlfn.XLOOKUP(B101, Substitutas!$B:$B, Substitutas!$A:$A, "-")</f>
        <v>-</v>
      </c>
    </row>
    <row r="102" spans="1:4" x14ac:dyDescent="0.25">
      <c r="A102" t="s">
        <v>603</v>
      </c>
      <c r="B102" t="s">
        <v>34</v>
      </c>
      <c r="C102" s="1" t="str">
        <f>IF(COUNTIF(Substitutas!$B:$B, B102) &gt; 0, "✅ Tenho", "❌ Faltando")</f>
        <v>❌ Faltando</v>
      </c>
      <c r="D102" s="1" t="str">
        <f>_xlfn.XLOOKUP(B102, Substitutas!$B:$B, Substitutas!$A:$A, "-")</f>
        <v>-</v>
      </c>
    </row>
    <row r="103" spans="1:4" x14ac:dyDescent="0.25">
      <c r="A103" t="s">
        <v>2616</v>
      </c>
      <c r="B103" t="s">
        <v>785</v>
      </c>
      <c r="C103" s="1" t="str">
        <f>IF(COUNTIF(Substitutas!$B:$B, B103) &gt; 0, "✅ Tenho", "❌ Faltando")</f>
        <v>❌ Faltando</v>
      </c>
      <c r="D103" s="1" t="str">
        <f>_xlfn.XLOOKUP(B103, Substitutas!$B:$B, Substitutas!$A:$A, "-")</f>
        <v>-</v>
      </c>
    </row>
    <row r="104" spans="1:4" x14ac:dyDescent="0.25">
      <c r="A104" t="s">
        <v>915</v>
      </c>
      <c r="B104" t="s">
        <v>933</v>
      </c>
      <c r="C104" s="1" t="str">
        <f>IF(COUNTIF(Substitutas!$B:$B, B104) &gt; 0, "✅ Tenho", "❌ Faltando")</f>
        <v>❌ Faltando</v>
      </c>
      <c r="D104" s="1" t="str">
        <f>_xlfn.XLOOKUP(B104, Substitutas!$B:$B, Substitutas!$A:$A, "-")</f>
        <v>-</v>
      </c>
    </row>
    <row r="105" spans="1:4" x14ac:dyDescent="0.25">
      <c r="A105" t="s">
        <v>2616</v>
      </c>
      <c r="B105" t="s">
        <v>2726</v>
      </c>
      <c r="C105" s="1" t="str">
        <f>IF(COUNTIF(Substitutas!$B:$B, B105) &gt; 0, "✅ Tenho", "❌ Faltando")</f>
        <v>❌ Faltando</v>
      </c>
      <c r="D105" s="1" t="str">
        <f>_xlfn.XLOOKUP(B105, Substitutas!$B:$B, Substitutas!$A:$A, "-")</f>
        <v>-</v>
      </c>
    </row>
    <row r="106" spans="1:4" x14ac:dyDescent="0.25">
      <c r="A106" t="s">
        <v>628</v>
      </c>
      <c r="B106" t="s">
        <v>2689</v>
      </c>
      <c r="C106" s="1" t="str">
        <f>IF(COUNTIF(Substitutas!$B:$B, B106) &gt; 0, "✅ Tenho", "❌ Faltando")</f>
        <v>❌ Faltando</v>
      </c>
      <c r="D106" s="1" t="str">
        <f>_xlfn.XLOOKUP(B106, Substitutas!$B:$B, Substitutas!$A:$A, "-")</f>
        <v>-</v>
      </c>
    </row>
    <row r="107" spans="1:4" x14ac:dyDescent="0.25">
      <c r="A107" t="s">
        <v>628</v>
      </c>
      <c r="B107" t="s">
        <v>1007</v>
      </c>
      <c r="C107" s="1" t="str">
        <f>IF(COUNTIF(Substitutas!$B:$B, B107) &gt; 0, "✅ Tenho", "❌ Faltando")</f>
        <v>❌ Faltando</v>
      </c>
      <c r="D107" s="1" t="str">
        <f>_xlfn.XLOOKUP(B107, Substitutas!$B:$B, Substitutas!$A:$A, "-")</f>
        <v>-</v>
      </c>
    </row>
    <row r="108" spans="1:4" x14ac:dyDescent="0.25">
      <c r="A108" t="s">
        <v>2616</v>
      </c>
      <c r="B108" t="s">
        <v>2640</v>
      </c>
      <c r="C108" s="1" t="str">
        <f>IF(COUNTIF(Substitutas!$B:$B, B108) &gt; 0, "✅ Tenho", "❌ Faltando")</f>
        <v>❌ Faltando</v>
      </c>
      <c r="D108" s="1" t="str">
        <f>_xlfn.XLOOKUP(B108, Substitutas!$B:$B, Substitutas!$A:$A, "-")</f>
        <v>-</v>
      </c>
    </row>
    <row r="109" spans="1:4" x14ac:dyDescent="0.25">
      <c r="A109" t="s">
        <v>2616</v>
      </c>
      <c r="B109" t="s">
        <v>2632</v>
      </c>
      <c r="C109" s="1" t="str">
        <f>IF(COUNTIF(Substitutas!$B:$B, B109) &gt; 0, "✅ Tenho", "❌ Faltando")</f>
        <v>❌ Faltando</v>
      </c>
      <c r="D109" s="1" t="str">
        <f>_xlfn.XLOOKUP(B109, Substitutas!$B:$B, Substitutas!$A:$A, "-")</f>
        <v>-</v>
      </c>
    </row>
    <row r="110" spans="1:4" x14ac:dyDescent="0.25">
      <c r="A110" t="s">
        <v>953</v>
      </c>
      <c r="B110" t="s">
        <v>961</v>
      </c>
      <c r="C110" s="1" t="str">
        <f>IF(COUNTIF(Substitutas!$B:$B, B110) &gt; 0, "✅ Tenho", "❌ Faltando")</f>
        <v>❌ Faltando</v>
      </c>
      <c r="D110" s="1" t="str">
        <f>_xlfn.XLOOKUP(B110, Substitutas!$B:$B, Substitutas!$A:$A, "-")</f>
        <v>-</v>
      </c>
    </row>
    <row r="111" spans="1:4" x14ac:dyDescent="0.25">
      <c r="A111" t="s">
        <v>1045</v>
      </c>
      <c r="B111" t="s">
        <v>1052</v>
      </c>
      <c r="C111" s="1" t="str">
        <f>IF(COUNTIF(Substitutas!$B:$B, B111) &gt; 0, "✅ Tenho", "❌ Faltando")</f>
        <v>❌ Faltando</v>
      </c>
      <c r="D111" s="1" t="str">
        <f>_xlfn.XLOOKUP(B111, Substitutas!$B:$B, Substitutas!$A:$A, "-")</f>
        <v>-</v>
      </c>
    </row>
    <row r="112" spans="1:4" x14ac:dyDescent="0.25">
      <c r="A112" t="s">
        <v>614</v>
      </c>
      <c r="B112" t="s">
        <v>109</v>
      </c>
      <c r="C112" s="1" t="str">
        <f>IF(COUNTIF(Substitutas!$B:$B, B112) &gt; 0, "✅ Tenho", "❌ Faltando")</f>
        <v>❌ Faltando</v>
      </c>
      <c r="D112" s="1" t="str">
        <f>_xlfn.XLOOKUP(B112, Substitutas!$B:$B, Substitutas!$A:$A, "-")</f>
        <v>-</v>
      </c>
    </row>
    <row r="113" spans="1:4" x14ac:dyDescent="0.25">
      <c r="A113" t="s">
        <v>618</v>
      </c>
      <c r="B113" t="s">
        <v>109</v>
      </c>
      <c r="C113" s="1" t="str">
        <f>IF(COUNTIF(Substitutas!$B:$B, B113) &gt; 0, "✅ Tenho", "❌ Faltando")</f>
        <v>❌ Faltando</v>
      </c>
      <c r="D113" s="1" t="str">
        <f>_xlfn.XLOOKUP(B113, Substitutas!$B:$B, Substitutas!$A:$A, "-")</f>
        <v>-</v>
      </c>
    </row>
    <row r="114" spans="1:4" x14ac:dyDescent="0.25">
      <c r="A114" t="s">
        <v>616</v>
      </c>
      <c r="B114" t="s">
        <v>2757</v>
      </c>
      <c r="C114" s="1" t="str">
        <f>IF(COUNTIF(Substitutas!$B:$B, B114) &gt; 0, "✅ Tenho", "❌ Faltando")</f>
        <v>❌ Faltando</v>
      </c>
      <c r="D114" s="1" t="str">
        <f>_xlfn.XLOOKUP(B114, Substitutas!$B:$B, Substitutas!$A:$A, "-")</f>
        <v>-</v>
      </c>
    </row>
    <row r="115" spans="1:4" x14ac:dyDescent="0.25">
      <c r="A115" t="s">
        <v>629</v>
      </c>
      <c r="B115" t="s">
        <v>185</v>
      </c>
      <c r="C115" s="1" t="str">
        <f>IF(COUNTIF(Substitutas!$B:$B, B115) &gt; 0, "✅ Tenho", "❌ Faltando")</f>
        <v>❌ Faltando</v>
      </c>
      <c r="D115" s="1" t="str">
        <f>_xlfn.XLOOKUP(B115, Substitutas!$B:$B, Substitutas!$A:$A, "-")</f>
        <v>-</v>
      </c>
    </row>
    <row r="116" spans="1:4" x14ac:dyDescent="0.25">
      <c r="A116" t="s">
        <v>614</v>
      </c>
      <c r="B116" t="s">
        <v>106</v>
      </c>
      <c r="C116" s="1" t="str">
        <f>IF(COUNTIF(Substitutas!$B:$B, B116) &gt; 0, "✅ Tenho", "❌ Faltando")</f>
        <v>❌ Faltando</v>
      </c>
      <c r="D116" s="1" t="str">
        <f>_xlfn.XLOOKUP(B116, Substitutas!$B:$B, Substitutas!$A:$A, "-")</f>
        <v>-</v>
      </c>
    </row>
    <row r="117" spans="1:4" x14ac:dyDescent="0.25">
      <c r="A117" t="s">
        <v>633</v>
      </c>
      <c r="B117" t="s">
        <v>106</v>
      </c>
      <c r="C117" s="1" t="str">
        <f>IF(COUNTIF(Substitutas!$B:$B, B117) &gt; 0, "✅ Tenho", "❌ Faltando")</f>
        <v>❌ Faltando</v>
      </c>
      <c r="D117" s="1" t="str">
        <f>_xlfn.XLOOKUP(B117, Substitutas!$B:$B, Substitutas!$A:$A, "-")</f>
        <v>-</v>
      </c>
    </row>
    <row r="118" spans="1:4" x14ac:dyDescent="0.25">
      <c r="A118" t="s">
        <v>610</v>
      </c>
      <c r="B118" t="s">
        <v>798</v>
      </c>
      <c r="C118" s="1" t="str">
        <f>IF(COUNTIF(Substitutas!$B:$B, B118) &gt; 0, "✅ Tenho", "❌ Faltando")</f>
        <v>❌ Faltando</v>
      </c>
      <c r="D118" s="1" t="str">
        <f>_xlfn.XLOOKUP(B118, Substitutas!$B:$B, Substitutas!$A:$A, "-")</f>
        <v>-</v>
      </c>
    </row>
    <row r="119" spans="1:4" x14ac:dyDescent="0.25">
      <c r="A119" t="s">
        <v>630</v>
      </c>
      <c r="B119" t="s">
        <v>195</v>
      </c>
      <c r="C119" s="1" t="str">
        <f>IF(COUNTIF(Substitutas!$B:$B, B119) &gt; 0, "✅ Tenho", "❌ Faltando")</f>
        <v>❌ Faltando</v>
      </c>
      <c r="D119" s="1" t="str">
        <f>_xlfn.XLOOKUP(B119, Substitutas!$B:$B, Substitutas!$A:$A, "-")</f>
        <v>-</v>
      </c>
    </row>
    <row r="120" spans="1:4" x14ac:dyDescent="0.25">
      <c r="A120" t="s">
        <v>614</v>
      </c>
      <c r="B120" t="s">
        <v>116</v>
      </c>
      <c r="C120" s="1" t="str">
        <f>IF(COUNTIF(Substitutas!$B:$B, B120) &gt; 0, "✅ Tenho", "❌ Faltando")</f>
        <v>❌ Faltando</v>
      </c>
      <c r="D120" s="1" t="str">
        <f>_xlfn.XLOOKUP(B120, Substitutas!$B:$B, Substitutas!$A:$A, "-")</f>
        <v>-</v>
      </c>
    </row>
    <row r="121" spans="1:4" x14ac:dyDescent="0.25">
      <c r="A121" t="s">
        <v>2616</v>
      </c>
      <c r="B121" t="s">
        <v>1328</v>
      </c>
      <c r="C121" s="1" t="str">
        <f>IF(COUNTIF(Substitutas!$B:$B, B121) &gt; 0, "✅ Tenho", "❌ Faltando")</f>
        <v>❌ Faltando</v>
      </c>
      <c r="D121" s="1" t="str">
        <f>_xlfn.XLOOKUP(B121, Substitutas!$B:$B, Substitutas!$A:$A, "-")</f>
        <v>-</v>
      </c>
    </row>
    <row r="122" spans="1:4" x14ac:dyDescent="0.25">
      <c r="A122" t="s">
        <v>1045</v>
      </c>
      <c r="B122" t="s">
        <v>2706</v>
      </c>
      <c r="C122" s="1" t="str">
        <f>IF(COUNTIF(Substitutas!$B:$B, B122) &gt; 0, "✅ Tenho", "❌ Faltando")</f>
        <v>❌ Faltando</v>
      </c>
      <c r="D122" s="1" t="str">
        <f>_xlfn.XLOOKUP(B122, Substitutas!$B:$B, Substitutas!$A:$A, "-")</f>
        <v>-</v>
      </c>
    </row>
    <row r="123" spans="1:4" x14ac:dyDescent="0.25">
      <c r="A123" t="s">
        <v>603</v>
      </c>
      <c r="B123" t="s">
        <v>2626</v>
      </c>
      <c r="C123" s="1" t="str">
        <f>IF(COUNTIF(Substitutas!$B:$B, B123) &gt; 0, "✅ Tenho", "❌ Faltando")</f>
        <v>❌ Faltando</v>
      </c>
      <c r="D123" s="1" t="str">
        <f>_xlfn.XLOOKUP(B123, Substitutas!$B:$B, Substitutas!$A:$A, "-")</f>
        <v>-</v>
      </c>
    </row>
    <row r="124" spans="1:4" x14ac:dyDescent="0.25">
      <c r="A124" t="s">
        <v>623</v>
      </c>
      <c r="B124" t="s">
        <v>113</v>
      </c>
      <c r="C124" s="1" t="str">
        <f>IF(COUNTIF(Substitutas!$B:$B, B124) &gt; 0, "✅ Tenho", "❌ Faltando")</f>
        <v>❌ Faltando</v>
      </c>
      <c r="D124" s="1" t="str">
        <f>_xlfn.XLOOKUP(B124, Substitutas!$B:$B, Substitutas!$A:$A, "-")</f>
        <v>-</v>
      </c>
    </row>
    <row r="125" spans="1:4" x14ac:dyDescent="0.25">
      <c r="A125" t="s">
        <v>633</v>
      </c>
      <c r="B125" t="s">
        <v>207</v>
      </c>
      <c r="C125" s="1" t="str">
        <f>IF(COUNTIF(Substitutas!$B:$B, B125) &gt; 0, "✅ Tenho", "❌ Faltando")</f>
        <v>❌ Faltando</v>
      </c>
      <c r="D125" s="1" t="str">
        <f>_xlfn.XLOOKUP(B125, Substitutas!$B:$B, Substitutas!$A:$A, "-")</f>
        <v>-</v>
      </c>
    </row>
    <row r="126" spans="1:4" x14ac:dyDescent="0.25">
      <c r="A126" t="s">
        <v>1045</v>
      </c>
      <c r="B126" t="s">
        <v>1058</v>
      </c>
      <c r="C126" s="1" t="str">
        <f>IF(COUNTIF(Substitutas!$B:$B, B126) &gt; 0, "✅ Tenho", "❌ Faltando")</f>
        <v>❌ Faltando</v>
      </c>
      <c r="D126" s="1" t="str">
        <f>_xlfn.XLOOKUP(B126, Substitutas!$B:$B, Substitutas!$A:$A, "-")</f>
        <v>-</v>
      </c>
    </row>
    <row r="127" spans="1:4" x14ac:dyDescent="0.25">
      <c r="A127" t="s">
        <v>831</v>
      </c>
      <c r="B127" t="s">
        <v>887</v>
      </c>
      <c r="C127" s="1" t="str">
        <f>IF(COUNTIF(Substitutas!$B:$B, B127) &gt; 0, "✅ Tenho", "❌ Faltando")</f>
        <v>❌ Faltando</v>
      </c>
      <c r="D127" s="1" t="str">
        <f>_xlfn.XLOOKUP(B127, Substitutas!$B:$B, Substitutas!$A:$A, "-")</f>
        <v>-</v>
      </c>
    </row>
    <row r="128" spans="1:4" x14ac:dyDescent="0.25">
      <c r="A128" t="s">
        <v>915</v>
      </c>
      <c r="B128" t="s">
        <v>887</v>
      </c>
      <c r="C128" s="1" t="str">
        <f>IF(COUNTIF(Substitutas!$B:$B, B128) &gt; 0, "✅ Tenho", "❌ Faltando")</f>
        <v>❌ Faltando</v>
      </c>
      <c r="D128" s="1" t="str">
        <f>_xlfn.XLOOKUP(B128, Substitutas!$B:$B, Substitutas!$A:$A, "-")</f>
        <v>-</v>
      </c>
    </row>
    <row r="129" spans="1:4" x14ac:dyDescent="0.25">
      <c r="A129" t="s">
        <v>629</v>
      </c>
      <c r="B129" t="s">
        <v>184</v>
      </c>
      <c r="C129" s="1" t="str">
        <f>IF(COUNTIF(Substitutas!$B:$B, B129) &gt; 0, "✅ Tenho", "❌ Faltando")</f>
        <v>❌ Faltando</v>
      </c>
      <c r="D129" s="1" t="str">
        <f>_xlfn.XLOOKUP(B129, Substitutas!$B:$B, Substitutas!$A:$A, "-")</f>
        <v>-</v>
      </c>
    </row>
    <row r="130" spans="1:4" x14ac:dyDescent="0.25">
      <c r="A130" t="s">
        <v>610</v>
      </c>
      <c r="B130" t="s">
        <v>802</v>
      </c>
      <c r="C130" s="1" t="str">
        <f>IF(COUNTIF(Substitutas!$B:$B, B130) &gt; 0, "✅ Tenho", "❌ Faltando")</f>
        <v>❌ Faltando</v>
      </c>
      <c r="D130" s="1" t="str">
        <f>_xlfn.XLOOKUP(B130, Substitutas!$B:$B, Substitutas!$A:$A, "-")</f>
        <v>-</v>
      </c>
    </row>
    <row r="131" spans="1:4" x14ac:dyDescent="0.25">
      <c r="A131" t="s">
        <v>915</v>
      </c>
      <c r="B131" t="s">
        <v>920</v>
      </c>
      <c r="C131" s="1" t="str">
        <f>IF(COUNTIF(Substitutas!$B:$B, B131) &gt; 0, "✅ Tenho", "❌ Faltando")</f>
        <v>❌ Faltando</v>
      </c>
      <c r="D131" s="1" t="str">
        <f>_xlfn.XLOOKUP(B131, Substitutas!$B:$B, Substitutas!$A:$A, "-")</f>
        <v>-</v>
      </c>
    </row>
    <row r="132" spans="1:4" x14ac:dyDescent="0.25">
      <c r="A132" t="s">
        <v>2808</v>
      </c>
      <c r="B132" t="s">
        <v>1988</v>
      </c>
      <c r="C132" s="1" t="str">
        <f>IF(COUNTIF(Substitutas!$B:$B, B132) &gt; 0, "✅ Tenho", "❌ Faltando")</f>
        <v>❌ Faltando</v>
      </c>
      <c r="D132" s="1" t="str">
        <f>_xlfn.XLOOKUP(B132, Substitutas!$B:$B, Substitutas!$A:$A, "-")</f>
        <v>-</v>
      </c>
    </row>
    <row r="133" spans="1:4" x14ac:dyDescent="0.25">
      <c r="A133" t="s">
        <v>601</v>
      </c>
      <c r="B133" t="s">
        <v>23</v>
      </c>
      <c r="C133" s="1" t="str">
        <f>IF(COUNTIF(Substitutas!$B:$B, B133) &gt; 0, "✅ Tenho", "❌ Faltando")</f>
        <v>❌ Faltando</v>
      </c>
      <c r="D133" s="1" t="str">
        <f>_xlfn.XLOOKUP(B133, Substitutas!$B:$B, Substitutas!$A:$A, "-")</f>
        <v>-</v>
      </c>
    </row>
    <row r="134" spans="1:4" x14ac:dyDescent="0.25">
      <c r="A134" t="s">
        <v>605</v>
      </c>
      <c r="B134" t="s">
        <v>46</v>
      </c>
      <c r="C134" s="1" t="str">
        <f>IF(COUNTIF(Substitutas!$B:$B, B134) &gt; 0, "✅ Tenho", "❌ Faltando")</f>
        <v>❌ Faltando</v>
      </c>
      <c r="D134" s="1" t="str">
        <f>_xlfn.XLOOKUP(B134, Substitutas!$B:$B, Substitutas!$A:$A, "-")</f>
        <v>-</v>
      </c>
    </row>
    <row r="135" spans="1:4" x14ac:dyDescent="0.25">
      <c r="A135" t="s">
        <v>602</v>
      </c>
      <c r="B135" t="s">
        <v>836</v>
      </c>
      <c r="C135" s="1" t="str">
        <f>IF(COUNTIF(Substitutas!$B:$B, B135) &gt; 0, "✅ Tenho", "❌ Faltando")</f>
        <v>❌ Faltando</v>
      </c>
      <c r="D135" s="1" t="str">
        <f>_xlfn.XLOOKUP(B135, Substitutas!$B:$B, Substitutas!$A:$A, "-")</f>
        <v>-</v>
      </c>
    </row>
    <row r="136" spans="1:4" x14ac:dyDescent="0.25">
      <c r="A136" t="s">
        <v>953</v>
      </c>
      <c r="B136" t="s">
        <v>946</v>
      </c>
      <c r="C136" s="1" t="str">
        <f>IF(COUNTIF(Substitutas!$B:$B, B136) &gt; 0, "✅ Tenho", "❌ Faltando")</f>
        <v>❌ Faltando</v>
      </c>
      <c r="D136" s="1" t="str">
        <f>_xlfn.XLOOKUP(B136, Substitutas!$B:$B, Substitutas!$A:$A, "-")</f>
        <v>-</v>
      </c>
    </row>
    <row r="137" spans="1:4" x14ac:dyDescent="0.25">
      <c r="A137" t="s">
        <v>2808</v>
      </c>
      <c r="B137" t="s">
        <v>121</v>
      </c>
      <c r="C137" s="1" t="str">
        <f>IF(COUNTIF(Substitutas!$B:$B, B137) &gt; 0, "✅ Tenho", "❌ Faltando")</f>
        <v>❌ Faltando</v>
      </c>
      <c r="D137" s="1" t="str">
        <f>_xlfn.XLOOKUP(B137, Substitutas!$B:$B, Substitutas!$A:$A, "-")</f>
        <v>-</v>
      </c>
    </row>
    <row r="138" spans="1:4" x14ac:dyDescent="0.25">
      <c r="A138" t="s">
        <v>953</v>
      </c>
      <c r="B138" t="s">
        <v>954</v>
      </c>
      <c r="C138" s="1" t="str">
        <f>IF(COUNTIF(Substitutas!$B:$B, B138) &gt; 0, "✅ Tenho", "❌ Faltando")</f>
        <v>❌ Faltando</v>
      </c>
      <c r="D138" s="1" t="str">
        <f>_xlfn.XLOOKUP(B138, Substitutas!$B:$B, Substitutas!$A:$A, "-")</f>
        <v>-</v>
      </c>
    </row>
    <row r="139" spans="1:4" x14ac:dyDescent="0.25">
      <c r="A139" t="s">
        <v>603</v>
      </c>
      <c r="B139" t="s">
        <v>2625</v>
      </c>
      <c r="C139" s="1" t="str">
        <f>IF(COUNTIF(Substitutas!$B:$B, B139) &gt; 0, "✅ Tenho", "❌ Faltando")</f>
        <v>❌ Faltando</v>
      </c>
      <c r="D139" s="1" t="str">
        <f>_xlfn.XLOOKUP(B139, Substitutas!$B:$B, Substitutas!$A:$A, "-")</f>
        <v>-</v>
      </c>
    </row>
    <row r="140" spans="1:4" x14ac:dyDescent="0.25">
      <c r="A140" t="s">
        <v>630</v>
      </c>
      <c r="B140" t="s">
        <v>198</v>
      </c>
      <c r="C140" s="1" t="str">
        <f>IF(COUNTIF(Substitutas!$B:$B, B140) &gt; 0, "✅ Tenho", "❌ Faltando")</f>
        <v>❌ Faltando</v>
      </c>
      <c r="D140" s="1" t="str">
        <f>_xlfn.XLOOKUP(B140, Substitutas!$B:$B, Substitutas!$A:$A, "-")</f>
        <v>-</v>
      </c>
    </row>
    <row r="141" spans="1:4" x14ac:dyDescent="0.25">
      <c r="A141" t="s">
        <v>610</v>
      </c>
      <c r="B141" t="s">
        <v>799</v>
      </c>
      <c r="C141" s="1" t="str">
        <f>IF(COUNTIF(Substitutas!$B:$B, B141) &gt; 0, "✅ Tenho", "❌ Faltando")</f>
        <v>❌ Faltando</v>
      </c>
      <c r="D141" s="1" t="str">
        <f>_xlfn.XLOOKUP(B141, Substitutas!$B:$B, Substitutas!$A:$A, "-")</f>
        <v>-</v>
      </c>
    </row>
    <row r="142" spans="1:4" x14ac:dyDescent="0.25">
      <c r="A142" t="s">
        <v>609</v>
      </c>
      <c r="B142" t="s">
        <v>487</v>
      </c>
      <c r="C142" s="1" t="str">
        <f>IF(COUNTIF(Substitutas!$B:$B, B142) &gt; 0, "✅ Tenho", "❌ Faltando")</f>
        <v>❌ Faltando</v>
      </c>
      <c r="D142" s="1" t="str">
        <f>_xlfn.XLOOKUP(B142, Substitutas!$B:$B, Substitutas!$A:$A, "-")</f>
        <v>-</v>
      </c>
    </row>
    <row r="143" spans="1:4" x14ac:dyDescent="0.25">
      <c r="A143" t="s">
        <v>609</v>
      </c>
      <c r="B143" t="s">
        <v>487</v>
      </c>
      <c r="C143" s="1" t="str">
        <f>IF(COUNTIF(Substitutas!$B:$B, B143) &gt; 0, "✅ Tenho", "❌ Faltando")</f>
        <v>❌ Faltando</v>
      </c>
      <c r="D143" s="1" t="str">
        <f>_xlfn.XLOOKUP(B143, Substitutas!$B:$B, Substitutas!$A:$A, "-")</f>
        <v>-</v>
      </c>
    </row>
    <row r="144" spans="1:4" x14ac:dyDescent="0.25">
      <c r="A144" t="s">
        <v>1012</v>
      </c>
      <c r="B144" t="s">
        <v>1013</v>
      </c>
      <c r="C144" s="1" t="str">
        <f>IF(COUNTIF(Substitutas!$B:$B, B144) &gt; 0, "✅ Tenho", "❌ Faltando")</f>
        <v>❌ Faltando</v>
      </c>
      <c r="D144" s="1" t="str">
        <f>_xlfn.XLOOKUP(B144, Substitutas!$B:$B, Substitutas!$A:$A, "-")</f>
        <v>-</v>
      </c>
    </row>
    <row r="145" spans="1:4" x14ac:dyDescent="0.25">
      <c r="A145" t="s">
        <v>601</v>
      </c>
      <c r="B145" t="s">
        <v>782</v>
      </c>
      <c r="C145" s="1" t="str">
        <f>IF(COUNTIF(Substitutas!$B:$B, B145) &gt; 0, "✅ Tenho", "❌ Faltando")</f>
        <v>❌ Faltando</v>
      </c>
      <c r="D145" s="1" t="str">
        <f>_xlfn.XLOOKUP(B145, Substitutas!$B:$B, Substitutas!$A:$A, "-")</f>
        <v>-</v>
      </c>
    </row>
    <row r="146" spans="1:4" x14ac:dyDescent="0.25">
      <c r="A146" t="s">
        <v>627</v>
      </c>
      <c r="B146" t="s">
        <v>126</v>
      </c>
      <c r="C146" s="1" t="str">
        <f>IF(COUNTIF(Substitutas!$B:$B, B146) &gt; 0, "✅ Tenho", "❌ Faltando")</f>
        <v>❌ Faltando</v>
      </c>
      <c r="D146" s="1" t="str">
        <f>_xlfn.XLOOKUP(B146, Substitutas!$B:$B, Substitutas!$A:$A, "-")</f>
        <v>-</v>
      </c>
    </row>
    <row r="147" spans="1:4" x14ac:dyDescent="0.25">
      <c r="A147" t="s">
        <v>633</v>
      </c>
      <c r="B147" t="s">
        <v>651</v>
      </c>
      <c r="C147" s="1" t="str">
        <f>IF(COUNTIF(Substitutas!$B:$B, B147) &gt; 0, "✅ Tenho", "❌ Faltando")</f>
        <v>❌ Faltando</v>
      </c>
      <c r="D147" s="1" t="str">
        <f>_xlfn.XLOOKUP(B147, Substitutas!$B:$B, Substitutas!$A:$A, "-")</f>
        <v>-</v>
      </c>
    </row>
    <row r="148" spans="1:4" x14ac:dyDescent="0.25">
      <c r="A148" t="s">
        <v>1045</v>
      </c>
      <c r="B148" t="s">
        <v>1062</v>
      </c>
      <c r="C148" s="1" t="str">
        <f>IF(COUNTIF(Substitutas!$B:$B, B148) &gt; 0, "✅ Tenho", "❌ Faltando")</f>
        <v>❌ Faltando</v>
      </c>
      <c r="D148" s="1" t="str">
        <f>_xlfn.XLOOKUP(B148, Substitutas!$B:$B, Substitutas!$A:$A, "-")</f>
        <v>-</v>
      </c>
    </row>
    <row r="149" spans="1:4" x14ac:dyDescent="0.25">
      <c r="A149" t="s">
        <v>608</v>
      </c>
      <c r="B149" t="s">
        <v>485</v>
      </c>
      <c r="C149" s="1" t="str">
        <f>IF(COUNTIF(Substitutas!$B:$B, B149) &gt; 0, "✅ Tenho", "❌ Faltando")</f>
        <v>❌ Faltando</v>
      </c>
      <c r="D149" s="1" t="str">
        <f>_xlfn.XLOOKUP(B149, Substitutas!$B:$B, Substitutas!$A:$A, "-")</f>
        <v>-</v>
      </c>
    </row>
    <row r="150" spans="1:4" x14ac:dyDescent="0.25">
      <c r="A150" t="s">
        <v>632</v>
      </c>
      <c r="B150" t="s">
        <v>203</v>
      </c>
      <c r="C150" s="1" t="str">
        <f>IF(COUNTIF(Substitutas!$B:$B, B150) &gt; 0, "✅ Tenho", "❌ Faltando")</f>
        <v>❌ Faltando</v>
      </c>
      <c r="D150" s="1" t="str">
        <f>_xlfn.XLOOKUP(B150, Substitutas!$B:$B, Substitutas!$A:$A, "-")</f>
        <v>-</v>
      </c>
    </row>
    <row r="151" spans="1:4" x14ac:dyDescent="0.25">
      <c r="A151" t="s">
        <v>633</v>
      </c>
      <c r="B151" t="s">
        <v>2707</v>
      </c>
      <c r="C151" s="1" t="str">
        <f>IF(COUNTIF(Substitutas!$B:$B, B151) &gt; 0, "✅ Tenho", "❌ Faltando")</f>
        <v>❌ Faltando</v>
      </c>
      <c r="D151" s="1" t="str">
        <f>_xlfn.XLOOKUP(B151, Substitutas!$B:$B, Substitutas!$A:$A, "-")</f>
        <v>-</v>
      </c>
    </row>
    <row r="152" spans="1:4" x14ac:dyDescent="0.25">
      <c r="A152" t="s">
        <v>2616</v>
      </c>
      <c r="B152" t="s">
        <v>2670</v>
      </c>
      <c r="C152" s="1" t="str">
        <f>IF(COUNTIF(Substitutas!$B:$B, B152) &gt; 0, "✅ Tenho", "❌ Faltando")</f>
        <v>❌ Faltando</v>
      </c>
      <c r="D152" s="1" t="str">
        <f>_xlfn.XLOOKUP(B152, Substitutas!$B:$B, Substitutas!$A:$A, "-")</f>
        <v>-</v>
      </c>
    </row>
    <row r="153" spans="1:4" x14ac:dyDescent="0.25">
      <c r="A153" t="s">
        <v>606</v>
      </c>
      <c r="B153" t="s">
        <v>2742</v>
      </c>
      <c r="C153" s="1" t="str">
        <f>IF(COUNTIF(Substitutas!$B:$B, B153) &gt; 0, "✅ Tenho", "❌ Faltando")</f>
        <v>❌ Faltando</v>
      </c>
      <c r="D153" s="1" t="str">
        <f>_xlfn.XLOOKUP(B153, Substitutas!$B:$B, Substitutas!$A:$A, "-")</f>
        <v>-</v>
      </c>
    </row>
    <row r="154" spans="1:4" x14ac:dyDescent="0.25">
      <c r="A154" t="s">
        <v>953</v>
      </c>
      <c r="B154" t="s">
        <v>142</v>
      </c>
      <c r="C154" s="1" t="str">
        <f>IF(COUNTIF(Substitutas!$B:$B, B154) &gt; 0, "✅ Tenho", "❌ Faltando")</f>
        <v>❌ Faltando</v>
      </c>
      <c r="D154" s="1" t="str">
        <f>_xlfn.XLOOKUP(B154, Substitutas!$B:$B, Substitutas!$A:$A, "-")</f>
        <v>-</v>
      </c>
    </row>
    <row r="155" spans="1:4" x14ac:dyDescent="0.25">
      <c r="A155" t="s">
        <v>616</v>
      </c>
      <c r="B155" t="s">
        <v>142</v>
      </c>
      <c r="C155" s="1" t="str">
        <f>IF(COUNTIF(Substitutas!$B:$B, B155) &gt; 0, "✅ Tenho", "❌ Faltando")</f>
        <v>❌ Faltando</v>
      </c>
      <c r="D155" s="1" t="str">
        <f>_xlfn.XLOOKUP(B155, Substitutas!$B:$B, Substitutas!$A:$A, "-")</f>
        <v>-</v>
      </c>
    </row>
    <row r="156" spans="1:4" x14ac:dyDescent="0.25">
      <c r="A156" t="s">
        <v>627</v>
      </c>
      <c r="B156" t="s">
        <v>125</v>
      </c>
      <c r="C156" s="1" t="str">
        <f>IF(COUNTIF(Substitutas!$B:$B, B156) &gt; 0, "✅ Tenho", "❌ Faltando")</f>
        <v>❌ Faltando</v>
      </c>
      <c r="D156" s="1" t="str">
        <f>_xlfn.XLOOKUP(B156, Substitutas!$B:$B, Substitutas!$A:$A, "-")</f>
        <v>-</v>
      </c>
    </row>
    <row r="157" spans="1:4" x14ac:dyDescent="0.25">
      <c r="A157" t="s">
        <v>607</v>
      </c>
      <c r="B157" t="s">
        <v>59</v>
      </c>
      <c r="C157" s="1" t="str">
        <f>IF(COUNTIF(Substitutas!$B:$B, B157) &gt; 0, "✅ Tenho", "❌ Faltando")</f>
        <v>❌ Faltando</v>
      </c>
      <c r="D157" s="1" t="str">
        <f>_xlfn.XLOOKUP(B157, Substitutas!$B:$B, Substitutas!$A:$A, "-")</f>
        <v>-</v>
      </c>
    </row>
    <row r="158" spans="1:4" x14ac:dyDescent="0.25">
      <c r="A158" t="s">
        <v>610</v>
      </c>
      <c r="B158" t="s">
        <v>79</v>
      </c>
      <c r="C158" s="1" t="str">
        <f>IF(COUNTIF(Substitutas!$B:$B, B158) &gt; 0, "✅ Tenho", "❌ Faltando")</f>
        <v>❌ Faltando</v>
      </c>
      <c r="D158" s="1" t="str">
        <f>_xlfn.XLOOKUP(B158, Substitutas!$B:$B, Substitutas!$A:$A, "-")</f>
        <v>-</v>
      </c>
    </row>
    <row r="159" spans="1:4" x14ac:dyDescent="0.25">
      <c r="A159" t="s">
        <v>2616</v>
      </c>
      <c r="B159" t="s">
        <v>2641</v>
      </c>
      <c r="C159" s="1" t="str">
        <f>IF(COUNTIF(Substitutas!$B:$B, B159) &gt; 0, "✅ Tenho", "❌ Faltando")</f>
        <v>❌ Faltando</v>
      </c>
      <c r="D159" s="1" t="str">
        <f>_xlfn.XLOOKUP(B159, Substitutas!$B:$B, Substitutas!$A:$A, "-")</f>
        <v>-</v>
      </c>
    </row>
    <row r="160" spans="1:4" x14ac:dyDescent="0.25">
      <c r="A160" t="s">
        <v>635</v>
      </c>
      <c r="B160" t="s">
        <v>645</v>
      </c>
      <c r="C160" s="1" t="str">
        <f>IF(COUNTIF(Substitutas!$B:$B, B160) &gt; 0, "✅ Tenho", "❌ Faltando")</f>
        <v>❌ Faltando</v>
      </c>
      <c r="D160" s="1" t="str">
        <f>_xlfn.XLOOKUP(B160, Substitutas!$B:$B, Substitutas!$A:$A, "-")</f>
        <v>-</v>
      </c>
    </row>
    <row r="161" spans="1:4" x14ac:dyDescent="0.25">
      <c r="A161" t="s">
        <v>2616</v>
      </c>
      <c r="B161" t="s">
        <v>2659</v>
      </c>
      <c r="C161" s="1" t="str">
        <f>IF(COUNTIF(Substitutas!$B:$B, B161) &gt; 0, "✅ Tenho", "❌ Faltando")</f>
        <v>❌ Faltando</v>
      </c>
      <c r="D161" s="1" t="str">
        <f>_xlfn.XLOOKUP(B161, Substitutas!$B:$B, Substitutas!$A:$A, "-")</f>
        <v>-</v>
      </c>
    </row>
    <row r="162" spans="1:4" x14ac:dyDescent="0.25">
      <c r="A162" t="s">
        <v>2616</v>
      </c>
      <c r="B162" t="s">
        <v>2674</v>
      </c>
      <c r="C162" s="1" t="str">
        <f>IF(COUNTIF(Substitutas!$B:$B, B162) &gt; 0, "✅ Tenho", "❌ Faltando")</f>
        <v>❌ Faltando</v>
      </c>
      <c r="D162" s="1" t="str">
        <f>_xlfn.XLOOKUP(B162, Substitutas!$B:$B, Substitutas!$A:$A, "-")</f>
        <v>-</v>
      </c>
    </row>
    <row r="163" spans="1:4" x14ac:dyDescent="0.25">
      <c r="A163" t="s">
        <v>2616</v>
      </c>
      <c r="B163" t="s">
        <v>2672</v>
      </c>
      <c r="C163" s="1" t="str">
        <f>IF(COUNTIF(Substitutas!$B:$B, B163) &gt; 0, "✅ Tenho", "❌ Faltando")</f>
        <v>❌ Faltando</v>
      </c>
      <c r="D163" s="1" t="str">
        <f>_xlfn.XLOOKUP(B163, Substitutas!$B:$B, Substitutas!$A:$A, "-")</f>
        <v>-</v>
      </c>
    </row>
    <row r="164" spans="1:4" x14ac:dyDescent="0.25">
      <c r="A164" t="s">
        <v>2616</v>
      </c>
      <c r="B164" t="s">
        <v>2637</v>
      </c>
      <c r="C164" s="1" t="str">
        <f>IF(COUNTIF(Substitutas!$B:$B, B164) &gt; 0, "✅ Tenho", "❌ Faltando")</f>
        <v>❌ Faltando</v>
      </c>
      <c r="D164" s="1" t="str">
        <f>_xlfn.XLOOKUP(B164, Substitutas!$B:$B, Substitutas!$A:$A, "-")</f>
        <v>-</v>
      </c>
    </row>
    <row r="165" spans="1:4" x14ac:dyDescent="0.25">
      <c r="A165" t="s">
        <v>1045</v>
      </c>
      <c r="B165" t="s">
        <v>940</v>
      </c>
      <c r="C165" s="1" t="str">
        <f>IF(COUNTIF(Substitutas!$B:$B, B165) &gt; 0, "✅ Tenho", "❌ Faltando")</f>
        <v>❌ Faltando</v>
      </c>
      <c r="D165" s="1" t="str">
        <f>_xlfn.XLOOKUP(B165, Substitutas!$B:$B, Substitutas!$A:$A, "-")</f>
        <v>-</v>
      </c>
    </row>
    <row r="166" spans="1:4" x14ac:dyDescent="0.25">
      <c r="A166" t="s">
        <v>915</v>
      </c>
      <c r="B166" t="s">
        <v>940</v>
      </c>
      <c r="C166" s="1" t="str">
        <f>IF(COUNTIF(Substitutas!$B:$B, B166) &gt; 0, "✅ Tenho", "❌ Faltando")</f>
        <v>❌ Faltando</v>
      </c>
      <c r="D166" s="1" t="str">
        <f>_xlfn.XLOOKUP(B166, Substitutas!$B:$B, Substitutas!$A:$A, "-")</f>
        <v>-</v>
      </c>
    </row>
    <row r="167" spans="1:4" x14ac:dyDescent="0.25">
      <c r="A167" t="s">
        <v>953</v>
      </c>
      <c r="B167" t="s">
        <v>690</v>
      </c>
      <c r="C167" s="1" t="str">
        <f>IF(COUNTIF(Substitutas!$B:$B, B167) &gt; 0, "✅ Tenho", "❌ Faltando")</f>
        <v>❌ Faltando</v>
      </c>
      <c r="D167" s="1" t="str">
        <f>_xlfn.XLOOKUP(B167, Substitutas!$B:$B, Substitutas!$A:$A, "-")</f>
        <v>-</v>
      </c>
    </row>
    <row r="168" spans="1:4" x14ac:dyDescent="0.25">
      <c r="A168" t="s">
        <v>2616</v>
      </c>
      <c r="B168" t="s">
        <v>2639</v>
      </c>
      <c r="C168" s="1" t="str">
        <f>IF(COUNTIF(Substitutas!$B:$B, B168) &gt; 0, "✅ Tenho", "❌ Faltando")</f>
        <v>❌ Faltando</v>
      </c>
      <c r="D168" s="1" t="str">
        <f>_xlfn.XLOOKUP(B168, Substitutas!$B:$B, Substitutas!$A:$A, "-")</f>
        <v>-</v>
      </c>
    </row>
    <row r="169" spans="1:4" x14ac:dyDescent="0.25">
      <c r="A169" t="s">
        <v>627</v>
      </c>
      <c r="B169" t="s">
        <v>118</v>
      </c>
      <c r="C169" s="1" t="str">
        <f>IF(COUNTIF(Substitutas!$B:$B, B169) &gt; 0, "✅ Tenho", "❌ Faltando")</f>
        <v>❌ Faltando</v>
      </c>
      <c r="D169" s="1" t="str">
        <f>_xlfn.XLOOKUP(B169, Substitutas!$B:$B, Substitutas!$A:$A, "-")</f>
        <v>-</v>
      </c>
    </row>
    <row r="170" spans="1:4" x14ac:dyDescent="0.25">
      <c r="A170" t="s">
        <v>915</v>
      </c>
      <c r="B170" t="s">
        <v>927</v>
      </c>
      <c r="C170" s="1" t="str">
        <f>IF(COUNTIF(Substitutas!$B:$B, B170) &gt; 0, "✅ Tenho", "❌ Faltando")</f>
        <v>❌ Faltando</v>
      </c>
      <c r="D170" s="1" t="str">
        <f>_xlfn.XLOOKUP(B170, Substitutas!$B:$B, Substitutas!$A:$A, "-")</f>
        <v>-</v>
      </c>
    </row>
    <row r="171" spans="1:4" x14ac:dyDescent="0.25">
      <c r="A171" t="s">
        <v>953</v>
      </c>
      <c r="B171" t="s">
        <v>959</v>
      </c>
      <c r="C171" s="1" t="str">
        <f>IF(COUNTIF(Substitutas!$B:$B, B171) &gt; 0, "✅ Tenho", "❌ Faltando")</f>
        <v>❌ Faltando</v>
      </c>
      <c r="D171" s="1" t="str">
        <f>_xlfn.XLOOKUP(B171, Substitutas!$B:$B, Substitutas!$A:$A, "-")</f>
        <v>-</v>
      </c>
    </row>
    <row r="172" spans="1:4" x14ac:dyDescent="0.25">
      <c r="A172" t="s">
        <v>633</v>
      </c>
      <c r="B172" t="s">
        <v>646</v>
      </c>
      <c r="C172" s="1" t="str">
        <f>IF(COUNTIF(Substitutas!$B:$B, B172) &gt; 0, "✅ Tenho", "❌ Faltando")</f>
        <v>❌ Faltando</v>
      </c>
      <c r="D172" s="1" t="str">
        <f>_xlfn.XLOOKUP(B172, Substitutas!$B:$B, Substitutas!$A:$A, "-")</f>
        <v>-</v>
      </c>
    </row>
    <row r="173" spans="1:4" x14ac:dyDescent="0.25">
      <c r="A173" t="s">
        <v>635</v>
      </c>
      <c r="B173" t="s">
        <v>908</v>
      </c>
      <c r="C173" s="1" t="str">
        <f>IF(COUNTIF(Substitutas!$B:$B, B173) &gt; 0, "✅ Tenho", "❌ Faltando")</f>
        <v>❌ Faltando</v>
      </c>
      <c r="D173" s="1" t="str">
        <f>_xlfn.XLOOKUP(B173, Substitutas!$B:$B, Substitutas!$A:$A, "-")</f>
        <v>-</v>
      </c>
    </row>
    <row r="174" spans="1:4" x14ac:dyDescent="0.25">
      <c r="A174" t="s">
        <v>629</v>
      </c>
      <c r="B174" t="s">
        <v>191</v>
      </c>
      <c r="C174" s="1" t="str">
        <f>IF(COUNTIF(Substitutas!$B:$B, B174) &gt; 0, "✅ Tenho", "❌ Faltando")</f>
        <v>❌ Faltando</v>
      </c>
      <c r="D174" s="1" t="str">
        <f>_xlfn.XLOOKUP(B174, Substitutas!$B:$B, Substitutas!$A:$A, "-")</f>
        <v>-</v>
      </c>
    </row>
    <row r="175" spans="1:4" x14ac:dyDescent="0.25">
      <c r="A175" t="s">
        <v>629</v>
      </c>
      <c r="B175" t="s">
        <v>191</v>
      </c>
      <c r="C175" s="1" t="str">
        <f>IF(COUNTIF(Substitutas!$B:$B, B175) &gt; 0, "✅ Tenho", "❌ Faltando")</f>
        <v>❌ Faltando</v>
      </c>
      <c r="D175" s="1" t="str">
        <f>_xlfn.XLOOKUP(B175, Substitutas!$B:$B, Substitutas!$A:$A, "-")</f>
        <v>-</v>
      </c>
    </row>
    <row r="176" spans="1:4" x14ac:dyDescent="0.25">
      <c r="A176" t="s">
        <v>629</v>
      </c>
      <c r="B176" t="s">
        <v>191</v>
      </c>
      <c r="C176" s="1" t="str">
        <f>IF(COUNTIF(Substitutas!$B:$B, B176) &gt; 0, "✅ Tenho", "❌ Faltando")</f>
        <v>❌ Faltando</v>
      </c>
      <c r="D176" s="1" t="str">
        <f>_xlfn.XLOOKUP(B176, Substitutas!$B:$B, Substitutas!$A:$A, "-")</f>
        <v>-</v>
      </c>
    </row>
    <row r="177" spans="1:4" x14ac:dyDescent="0.25">
      <c r="A177" t="s">
        <v>629</v>
      </c>
      <c r="B177" t="s">
        <v>191</v>
      </c>
      <c r="C177" s="1" t="str">
        <f>IF(COUNTIF(Substitutas!$B:$B, B177) &gt; 0, "✅ Tenho", "❌ Faltando")</f>
        <v>❌ Faltando</v>
      </c>
      <c r="D177" s="1" t="str">
        <f>_xlfn.XLOOKUP(B177, Substitutas!$B:$B, Substitutas!$A:$A, "-")</f>
        <v>-</v>
      </c>
    </row>
    <row r="178" spans="1:4" x14ac:dyDescent="0.25">
      <c r="A178" t="s">
        <v>629</v>
      </c>
      <c r="B178" t="s">
        <v>191</v>
      </c>
      <c r="C178" s="1" t="str">
        <f>IF(COUNTIF(Substitutas!$B:$B, B178) &gt; 0, "✅ Tenho", "❌ Faltando")</f>
        <v>❌ Faltando</v>
      </c>
      <c r="D178" s="1" t="str">
        <f>_xlfn.XLOOKUP(B178, Substitutas!$B:$B, Substitutas!$A:$A, "-")</f>
        <v>-</v>
      </c>
    </row>
    <row r="179" spans="1:4" x14ac:dyDescent="0.25">
      <c r="A179" t="s">
        <v>633</v>
      </c>
      <c r="B179" t="s">
        <v>208</v>
      </c>
      <c r="C179" s="1" t="str">
        <f>IF(COUNTIF(Substitutas!$B:$B, B179) &gt; 0, "✅ Tenho", "❌ Faltando")</f>
        <v>❌ Faltando</v>
      </c>
      <c r="D179" s="1" t="str">
        <f>_xlfn.XLOOKUP(B179, Substitutas!$B:$B, Substitutas!$A:$A, "-")</f>
        <v>-</v>
      </c>
    </row>
    <row r="180" spans="1:4" x14ac:dyDescent="0.25">
      <c r="A180" t="s">
        <v>620</v>
      </c>
      <c r="B180" t="s">
        <v>2768</v>
      </c>
      <c r="C180" s="1" t="str">
        <f>IF(COUNTIF(Substitutas!$B:$B, B180) &gt; 0, "✅ Tenho", "❌ Faltando")</f>
        <v>❌ Faltando</v>
      </c>
      <c r="D180" s="1" t="str">
        <f>_xlfn.XLOOKUP(B180, Substitutas!$B:$B, Substitutas!$A:$A, "-")</f>
        <v>-</v>
      </c>
    </row>
    <row r="181" spans="1:4" x14ac:dyDescent="0.25">
      <c r="A181" t="s">
        <v>953</v>
      </c>
      <c r="B181" t="s">
        <v>968</v>
      </c>
      <c r="C181" s="1" t="str">
        <f>IF(COUNTIF(Substitutas!$B:$B, B181) &gt; 0, "✅ Tenho", "❌ Faltando")</f>
        <v>❌ Faltando</v>
      </c>
      <c r="D181" s="1" t="str">
        <f>_xlfn.XLOOKUP(B181, Substitutas!$B:$B, Substitutas!$A:$A, "-")</f>
        <v>-</v>
      </c>
    </row>
    <row r="182" spans="1:4" x14ac:dyDescent="0.25">
      <c r="A182" t="s">
        <v>1045</v>
      </c>
      <c r="B182" t="s">
        <v>918</v>
      </c>
      <c r="C182" s="1" t="str">
        <f>IF(COUNTIF(Substitutas!$B:$B, B182) &gt; 0, "✅ Tenho", "❌ Faltando")</f>
        <v>❌ Faltando</v>
      </c>
      <c r="D182" s="1" t="str">
        <f>_xlfn.XLOOKUP(B182, Substitutas!$B:$B, Substitutas!$A:$A, "-")</f>
        <v>-</v>
      </c>
    </row>
    <row r="183" spans="1:4" x14ac:dyDescent="0.25">
      <c r="A183" t="s">
        <v>915</v>
      </c>
      <c r="B183" t="s">
        <v>918</v>
      </c>
      <c r="C183" s="1" t="str">
        <f>IF(COUNTIF(Substitutas!$B:$B, B183) &gt; 0, "✅ Tenho", "❌ Faltando")</f>
        <v>❌ Faltando</v>
      </c>
      <c r="D183" s="1" t="str">
        <f>_xlfn.XLOOKUP(B183, Substitutas!$B:$B, Substitutas!$A:$A, "-")</f>
        <v>-</v>
      </c>
    </row>
    <row r="184" spans="1:4" x14ac:dyDescent="0.25">
      <c r="A184" t="s">
        <v>2808</v>
      </c>
      <c r="B184" t="s">
        <v>1265</v>
      </c>
      <c r="C184" s="1" t="str">
        <f>IF(COUNTIF(Substitutas!$B:$B, B184) &gt; 0, "✅ Tenho", "❌ Faltando")</f>
        <v>❌ Faltando</v>
      </c>
      <c r="D184" s="1" t="str">
        <f>_xlfn.XLOOKUP(B184, Substitutas!$B:$B, Substitutas!$A:$A, "-")</f>
        <v>-</v>
      </c>
    </row>
    <row r="185" spans="1:4" x14ac:dyDescent="0.25">
      <c r="A185" t="s">
        <v>2616</v>
      </c>
      <c r="B185" t="s">
        <v>1435</v>
      </c>
      <c r="C185" s="1" t="str">
        <f>IF(COUNTIF(Substitutas!$B:$B, B185) &gt; 0, "✅ Tenho", "❌ Faltando")</f>
        <v>❌ Faltando</v>
      </c>
      <c r="D185" s="1" t="str">
        <f>_xlfn.XLOOKUP(B185, Substitutas!$B:$B, Substitutas!$A:$A, "-")</f>
        <v>-</v>
      </c>
    </row>
    <row r="186" spans="1:4" x14ac:dyDescent="0.25">
      <c r="A186" t="s">
        <v>631</v>
      </c>
      <c r="B186" t="s">
        <v>201</v>
      </c>
      <c r="C186" s="1" t="str">
        <f>IF(COUNTIF(Substitutas!$B:$B, B186) &gt; 0, "✅ Tenho", "❌ Faltando")</f>
        <v>❌ Faltando</v>
      </c>
      <c r="D186" s="1" t="str">
        <f>_xlfn.XLOOKUP(B186, Substitutas!$B:$B, Substitutas!$A:$A, "-")</f>
        <v>-</v>
      </c>
    </row>
    <row r="187" spans="1:4" x14ac:dyDescent="0.25">
      <c r="A187" t="s">
        <v>2616</v>
      </c>
      <c r="B187" t="s">
        <v>2653</v>
      </c>
      <c r="C187" s="1" t="str">
        <f>IF(COUNTIF(Substitutas!$B:$B, B187) &gt; 0, "✅ Tenho", "❌ Faltando")</f>
        <v>❌ Faltando</v>
      </c>
      <c r="D187" s="1" t="str">
        <f>_xlfn.XLOOKUP(B187, Substitutas!$B:$B, Substitutas!$A:$A, "-")</f>
        <v>-</v>
      </c>
    </row>
    <row r="188" spans="1:4" x14ac:dyDescent="0.25">
      <c r="A188" t="s">
        <v>627</v>
      </c>
      <c r="B188" t="s">
        <v>2776</v>
      </c>
      <c r="C188" s="1" t="str">
        <f>IF(COUNTIF(Substitutas!$B:$B, B188) &gt; 0, "✅ Tenho", "❌ Faltando")</f>
        <v>❌ Faltando</v>
      </c>
      <c r="D188" s="1" t="str">
        <f>_xlfn.XLOOKUP(B188, Substitutas!$B:$B, Substitutas!$A:$A, "-")</f>
        <v>-</v>
      </c>
    </row>
    <row r="189" spans="1:4" x14ac:dyDescent="0.25">
      <c r="A189" t="s">
        <v>1012</v>
      </c>
      <c r="B189" t="s">
        <v>1026</v>
      </c>
      <c r="C189" s="1" t="str">
        <f>IF(COUNTIF(Substitutas!$B:$B, B189) &gt; 0, "✅ Tenho", "❌ Faltando")</f>
        <v>❌ Faltando</v>
      </c>
      <c r="D189" s="1" t="str">
        <f>_xlfn.XLOOKUP(B189, Substitutas!$B:$B, Substitutas!$A:$A, "-")</f>
        <v>-</v>
      </c>
    </row>
    <row r="190" spans="1:4" x14ac:dyDescent="0.25">
      <c r="A190" t="s">
        <v>610</v>
      </c>
      <c r="B190" t="s">
        <v>806</v>
      </c>
      <c r="C190" s="1" t="str">
        <f>IF(COUNTIF(Substitutas!$B:$B, B190) &gt; 0, "✅ Tenho", "❌ Faltando")</f>
        <v>❌ Faltando</v>
      </c>
      <c r="D190" s="1" t="str">
        <f>_xlfn.XLOOKUP(B190, Substitutas!$B:$B, Substitutas!$A:$A, "-")</f>
        <v>-</v>
      </c>
    </row>
    <row r="191" spans="1:4" x14ac:dyDescent="0.25">
      <c r="A191" t="s">
        <v>915</v>
      </c>
      <c r="B191" t="s">
        <v>936</v>
      </c>
      <c r="C191" s="1" t="str">
        <f>IF(COUNTIF(Substitutas!$B:$B, B191) &gt; 0, "✅ Tenho", "❌ Faltando")</f>
        <v>❌ Faltando</v>
      </c>
      <c r="D191" s="1" t="str">
        <f>_xlfn.XLOOKUP(B191, Substitutas!$B:$B, Substitutas!$A:$A, "-")</f>
        <v>-</v>
      </c>
    </row>
    <row r="192" spans="1:4" x14ac:dyDescent="0.25">
      <c r="A192" t="s">
        <v>606</v>
      </c>
      <c r="B192" t="s">
        <v>55</v>
      </c>
      <c r="C192" s="1" t="str">
        <f>IF(COUNTIF(Substitutas!$B:$B, B192) &gt; 0, "✅ Tenho", "❌ Faltando")</f>
        <v>❌ Faltando</v>
      </c>
      <c r="D192" s="1" t="str">
        <f>_xlfn.XLOOKUP(B192, Substitutas!$B:$B, Substitutas!$A:$A, "-")</f>
        <v>-</v>
      </c>
    </row>
    <row r="193" spans="1:4" x14ac:dyDescent="0.25">
      <c r="A193" t="s">
        <v>618</v>
      </c>
      <c r="B193" t="s">
        <v>55</v>
      </c>
      <c r="C193" s="1" t="str">
        <f>IF(COUNTIF(Substitutas!$B:$B, B193) &gt; 0, "✅ Tenho", "❌ Faltando")</f>
        <v>❌ Faltando</v>
      </c>
      <c r="D193" s="1" t="str">
        <f>_xlfn.XLOOKUP(B193, Substitutas!$B:$B, Substitutas!$A:$A, "-")</f>
        <v>-</v>
      </c>
    </row>
    <row r="194" spans="1:4" x14ac:dyDescent="0.25">
      <c r="A194" t="s">
        <v>915</v>
      </c>
      <c r="B194" t="s">
        <v>1030</v>
      </c>
      <c r="C194" s="1" t="str">
        <f>IF(COUNTIF(Substitutas!$B:$B, B194) &gt; 0, "✅ Tenho", "❌ Faltando")</f>
        <v>❌ Faltando</v>
      </c>
      <c r="D194" s="1" t="str">
        <f>_xlfn.XLOOKUP(B194, Substitutas!$B:$B, Substitutas!$A:$A, "-")</f>
        <v>-</v>
      </c>
    </row>
    <row r="195" spans="1:4" x14ac:dyDescent="0.25">
      <c r="A195" t="s">
        <v>2616</v>
      </c>
      <c r="B195" t="s">
        <v>1334</v>
      </c>
      <c r="C195" s="1" t="str">
        <f>IF(COUNTIF(Substitutas!$B:$B, B195) &gt; 0, "✅ Tenho", "❌ Faltando")</f>
        <v>❌ Faltando</v>
      </c>
      <c r="D195" s="1" t="str">
        <f>_xlfn.XLOOKUP(B195, Substitutas!$B:$B, Substitutas!$A:$A, "-")</f>
        <v>-</v>
      </c>
    </row>
    <row r="196" spans="1:4" x14ac:dyDescent="0.25">
      <c r="A196" t="s">
        <v>609</v>
      </c>
      <c r="B196" t="s">
        <v>65</v>
      </c>
      <c r="C196" s="1" t="str">
        <f>IF(COUNTIF(Substitutas!$B:$B, B196) &gt; 0, "✅ Tenho", "❌ Faltando")</f>
        <v>❌ Faltando</v>
      </c>
      <c r="D196" s="1" t="str">
        <f>_xlfn.XLOOKUP(B196, Substitutas!$B:$B, Substitutas!$A:$A, "-")</f>
        <v>-</v>
      </c>
    </row>
    <row r="197" spans="1:4" x14ac:dyDescent="0.25">
      <c r="A197" t="s">
        <v>915</v>
      </c>
      <c r="B197" t="s">
        <v>937</v>
      </c>
      <c r="C197" s="1" t="str">
        <f>IF(COUNTIF(Substitutas!$B:$B, B197) &gt; 0, "✅ Tenho", "❌ Faltando")</f>
        <v>❌ Faltando</v>
      </c>
      <c r="D197" s="1" t="str">
        <f>_xlfn.XLOOKUP(B197, Substitutas!$B:$B, Substitutas!$A:$A, "-")</f>
        <v>-</v>
      </c>
    </row>
    <row r="198" spans="1:4" x14ac:dyDescent="0.25">
      <c r="A198" t="s">
        <v>915</v>
      </c>
      <c r="B198" t="s">
        <v>925</v>
      </c>
      <c r="C198" s="1" t="str">
        <f>IF(COUNTIF(Substitutas!$B:$B, B198) &gt; 0, "✅ Tenho", "❌ Faltando")</f>
        <v>❌ Faltando</v>
      </c>
      <c r="D198" s="1" t="str">
        <f>_xlfn.XLOOKUP(B198, Substitutas!$B:$B, Substitutas!$A:$A, "-")</f>
        <v>-</v>
      </c>
    </row>
    <row r="199" spans="1:4" x14ac:dyDescent="0.25">
      <c r="A199" t="s">
        <v>615</v>
      </c>
      <c r="B199" t="s">
        <v>127</v>
      </c>
      <c r="C199" s="1" t="str">
        <f>IF(COUNTIF(Substitutas!$B:$B, B199) &gt; 0, "✅ Tenho", "❌ Faltando")</f>
        <v>❌ Faltando</v>
      </c>
      <c r="D199" s="1" t="str">
        <f>_xlfn.XLOOKUP(B199, Substitutas!$B:$B, Substitutas!$A:$A, "-")</f>
        <v>-</v>
      </c>
    </row>
    <row r="200" spans="1:4" x14ac:dyDescent="0.25">
      <c r="A200" t="s">
        <v>614</v>
      </c>
      <c r="B200" t="s">
        <v>899</v>
      </c>
      <c r="C200" s="1" t="str">
        <f>IF(COUNTIF(Substitutas!$B:$B, B200) &gt; 0, "✅ Tenho", "❌ Faltando")</f>
        <v>❌ Faltando</v>
      </c>
      <c r="D200" s="1" t="str">
        <f>_xlfn.XLOOKUP(B200, Substitutas!$B:$B, Substitutas!$A:$A, "-")</f>
        <v>-</v>
      </c>
    </row>
    <row r="201" spans="1:4" x14ac:dyDescent="0.25">
      <c r="A201" t="s">
        <v>2616</v>
      </c>
      <c r="B201" t="s">
        <v>2636</v>
      </c>
      <c r="C201" s="1" t="str">
        <f>IF(COUNTIF(Substitutas!$B:$B, B201) &gt; 0, "✅ Tenho", "❌ Faltando")</f>
        <v>❌ Faltando</v>
      </c>
      <c r="D201" s="1" t="str">
        <f>_xlfn.XLOOKUP(B201, Substitutas!$B:$B, Substitutas!$A:$A, "-")</f>
        <v>-</v>
      </c>
    </row>
    <row r="202" spans="1:4" x14ac:dyDescent="0.25">
      <c r="A202" t="s">
        <v>953</v>
      </c>
      <c r="B202" t="s">
        <v>962</v>
      </c>
      <c r="C202" s="1" t="str">
        <f>IF(COUNTIF(Substitutas!$B:$B, B202) &gt; 0, "✅ Tenho", "❌ Faltando")</f>
        <v>❌ Faltando</v>
      </c>
      <c r="D202" s="1" t="str">
        <f>_xlfn.XLOOKUP(B202, Substitutas!$B:$B, Substitutas!$A:$A, "-")</f>
        <v>-</v>
      </c>
    </row>
    <row r="203" spans="1:4" x14ac:dyDescent="0.25">
      <c r="A203" t="s">
        <v>915</v>
      </c>
      <c r="B203" t="s">
        <v>926</v>
      </c>
      <c r="C203" s="1" t="str">
        <f>IF(COUNTIF(Substitutas!$B:$B, B203) &gt; 0, "✅ Tenho", "❌ Faltando")</f>
        <v>❌ Faltando</v>
      </c>
      <c r="D203" s="1" t="str">
        <f>_xlfn.XLOOKUP(B203, Substitutas!$B:$B, Substitutas!$A:$A, "-")</f>
        <v>-</v>
      </c>
    </row>
    <row r="204" spans="1:4" x14ac:dyDescent="0.25">
      <c r="A204" t="s">
        <v>605</v>
      </c>
      <c r="B204" t="s">
        <v>41</v>
      </c>
      <c r="C204" s="1" t="str">
        <f>IF(COUNTIF(Substitutas!$B:$B, B204) &gt; 0, "✅ Tenho", "❌ Faltando")</f>
        <v>❌ Faltando</v>
      </c>
      <c r="D204" s="1" t="str">
        <f>_xlfn.XLOOKUP(B204, Substitutas!$B:$B, Substitutas!$A:$A, "-")</f>
        <v>-</v>
      </c>
    </row>
    <row r="205" spans="1:4" x14ac:dyDescent="0.25">
      <c r="A205" t="s">
        <v>609</v>
      </c>
      <c r="B205" t="s">
        <v>68</v>
      </c>
      <c r="C205" s="1" t="str">
        <f>IF(COUNTIF(Substitutas!$B:$B, B205) &gt; 0, "✅ Tenho", "❌ Faltando")</f>
        <v>❌ Faltando</v>
      </c>
      <c r="D205" s="1" t="str">
        <f>_xlfn.XLOOKUP(B205, Substitutas!$B:$B, Substitutas!$A:$A, "-")</f>
        <v>-</v>
      </c>
    </row>
    <row r="206" spans="1:4" x14ac:dyDescent="0.25">
      <c r="A206" t="s">
        <v>2616</v>
      </c>
      <c r="B206" t="s">
        <v>1412</v>
      </c>
      <c r="C206" s="1" t="str">
        <f>IF(COUNTIF(Substitutas!$B:$B, B206) &gt; 0, "✅ Tenho", "❌ Faltando")</f>
        <v>❌ Faltando</v>
      </c>
      <c r="D206" s="1" t="str">
        <f>_xlfn.XLOOKUP(B206, Substitutas!$B:$B, Substitutas!$A:$A, "-")</f>
        <v>-</v>
      </c>
    </row>
    <row r="207" spans="1:4" x14ac:dyDescent="0.25">
      <c r="A207" t="s">
        <v>607</v>
      </c>
      <c r="B207" t="s">
        <v>35</v>
      </c>
      <c r="C207" s="1" t="str">
        <f>IF(COUNTIF(Substitutas!$B:$B, B207) &gt; 0, "✅ Tenho", "❌ Faltando")</f>
        <v>❌ Faltando</v>
      </c>
      <c r="D207" s="1" t="str">
        <f>_xlfn.XLOOKUP(B207, Substitutas!$B:$B, Substitutas!$A:$A, "-")</f>
        <v>-</v>
      </c>
    </row>
    <row r="208" spans="1:4" x14ac:dyDescent="0.25">
      <c r="A208" t="s">
        <v>614</v>
      </c>
      <c r="B208" t="s">
        <v>35</v>
      </c>
      <c r="C208" s="1" t="str">
        <f>IF(COUNTIF(Substitutas!$B:$B, B208) &gt; 0, "✅ Tenho", "❌ Faltando")</f>
        <v>❌ Faltando</v>
      </c>
      <c r="D208" s="1" t="str">
        <f>_xlfn.XLOOKUP(B208, Substitutas!$B:$B, Substitutas!$A:$A, "-")</f>
        <v>-</v>
      </c>
    </row>
    <row r="209" spans="1:4" x14ac:dyDescent="0.25">
      <c r="A209" t="s">
        <v>2616</v>
      </c>
      <c r="B209" t="s">
        <v>2679</v>
      </c>
      <c r="C209" s="1" t="str">
        <f>IF(COUNTIF(Substitutas!$B:$B, B209) &gt; 0, "✅ Tenho", "❌ Faltando")</f>
        <v>❌ Faltando</v>
      </c>
      <c r="D209" s="1" t="str">
        <f>_xlfn.XLOOKUP(B209, Substitutas!$B:$B, Substitutas!$A:$A, "-")</f>
        <v>-</v>
      </c>
    </row>
    <row r="210" spans="1:4" x14ac:dyDescent="0.25">
      <c r="A210" t="s">
        <v>1045</v>
      </c>
      <c r="B210" t="s">
        <v>1047</v>
      </c>
      <c r="C210" s="1" t="str">
        <f>IF(COUNTIF(Substitutas!$B:$B, B210) &gt; 0, "✅ Tenho", "❌ Faltando")</f>
        <v>❌ Faltando</v>
      </c>
      <c r="D210" s="1" t="str">
        <f>_xlfn.XLOOKUP(B210, Substitutas!$B:$B, Substitutas!$A:$A, "-")</f>
        <v>-</v>
      </c>
    </row>
    <row r="211" spans="1:4" x14ac:dyDescent="0.25">
      <c r="A211" t="s">
        <v>605</v>
      </c>
      <c r="B211" t="s">
        <v>39</v>
      </c>
      <c r="C211" s="1" t="str">
        <f>IF(COUNTIF(Substitutas!$B:$B, B211) &gt; 0, "✅ Tenho", "❌ Faltando")</f>
        <v>❌ Faltando</v>
      </c>
      <c r="D211" s="1" t="str">
        <f>_xlfn.XLOOKUP(B211, Substitutas!$B:$B, Substitutas!$A:$A, "-")</f>
        <v>-</v>
      </c>
    </row>
    <row r="212" spans="1:4" x14ac:dyDescent="0.25">
      <c r="A212" t="s">
        <v>623</v>
      </c>
      <c r="B212" t="s">
        <v>165</v>
      </c>
      <c r="C212" s="1" t="str">
        <f>IF(COUNTIF(Substitutas!$B:$B, B212) &gt; 0, "✅ Tenho", "❌ Faltando")</f>
        <v>❌ Faltando</v>
      </c>
      <c r="D212" s="1" t="str">
        <f>_xlfn.XLOOKUP(B212, Substitutas!$B:$B, Substitutas!$A:$A, "-")</f>
        <v>-</v>
      </c>
    </row>
    <row r="213" spans="1:4" x14ac:dyDescent="0.25">
      <c r="A213" t="s">
        <v>602</v>
      </c>
      <c r="B213" t="s">
        <v>27</v>
      </c>
      <c r="C213" s="1" t="str">
        <f>IF(COUNTIF(Substitutas!$B:$B, B213) &gt; 0, "✅ Tenho", "❌ Faltando")</f>
        <v>❌ Faltando</v>
      </c>
      <c r="D213" s="1" t="str">
        <f>_xlfn.XLOOKUP(B213, Substitutas!$B:$B, Substitutas!$A:$A, "-")</f>
        <v>-</v>
      </c>
    </row>
    <row r="214" spans="1:4" x14ac:dyDescent="0.25">
      <c r="A214" t="s">
        <v>2808</v>
      </c>
      <c r="B214" t="s">
        <v>2814</v>
      </c>
      <c r="C214" s="1" t="str">
        <f>IF(COUNTIF(Substitutas!$B:$B, B214) &gt; 0, "✅ Tenho", "❌ Faltando")</f>
        <v>❌ Faltando</v>
      </c>
      <c r="D214" s="1" t="str">
        <f>_xlfn.XLOOKUP(B214, Substitutas!$B:$B, Substitutas!$A:$A, "-")</f>
        <v>-</v>
      </c>
    </row>
    <row r="215" spans="1:4" x14ac:dyDescent="0.25">
      <c r="A215" t="s">
        <v>616</v>
      </c>
      <c r="B215" t="s">
        <v>138</v>
      </c>
      <c r="C215" s="1" t="str">
        <f>IF(COUNTIF(Substitutas!$B:$B, B215) &gt; 0, "✅ Tenho", "❌ Faltando")</f>
        <v>❌ Faltando</v>
      </c>
      <c r="D215" s="1" t="str">
        <f>_xlfn.XLOOKUP(B215, Substitutas!$B:$B, Substitutas!$A:$A, "-")</f>
        <v>-</v>
      </c>
    </row>
    <row r="216" spans="1:4" x14ac:dyDescent="0.25">
      <c r="A216" t="s">
        <v>624</v>
      </c>
      <c r="B216" t="s">
        <v>174</v>
      </c>
      <c r="C216" s="1" t="str">
        <f>IF(COUNTIF(Substitutas!$B:$B, B216) &gt; 0, "✅ Tenho", "❌ Faltando")</f>
        <v>❌ Faltando</v>
      </c>
      <c r="D216" s="1" t="str">
        <f>_xlfn.XLOOKUP(B216, Substitutas!$B:$B, Substitutas!$A:$A, "-")</f>
        <v>-</v>
      </c>
    </row>
    <row r="217" spans="1:4" x14ac:dyDescent="0.25">
      <c r="A217" t="s">
        <v>2808</v>
      </c>
      <c r="B217" t="s">
        <v>2811</v>
      </c>
      <c r="C217" s="1" t="str">
        <f>IF(COUNTIF(Substitutas!$B:$B, B217) &gt; 0, "✅ Tenho", "❌ Faltando")</f>
        <v>❌ Faltando</v>
      </c>
      <c r="D217" s="1" t="str">
        <f>_xlfn.XLOOKUP(B217, Substitutas!$B:$B, Substitutas!$A:$A, "-")</f>
        <v>-</v>
      </c>
    </row>
    <row r="218" spans="1:4" x14ac:dyDescent="0.25">
      <c r="A218" t="s">
        <v>602</v>
      </c>
      <c r="B218" t="s">
        <v>31</v>
      </c>
      <c r="C218" s="1" t="str">
        <f>IF(COUNTIF(Substitutas!$B:$B, B218) &gt; 0, "✅ Tenho", "❌ Faltando")</f>
        <v>❌ Faltando</v>
      </c>
      <c r="D218" s="1" t="str">
        <f>_xlfn.XLOOKUP(B218, Substitutas!$B:$B, Substitutas!$A:$A, "-")</f>
        <v>-</v>
      </c>
    </row>
    <row r="219" spans="1:4" x14ac:dyDescent="0.25">
      <c r="A219" t="s">
        <v>953</v>
      </c>
      <c r="B219" t="s">
        <v>965</v>
      </c>
      <c r="C219" s="1" t="str">
        <f>IF(COUNTIF(Substitutas!$B:$B, B219) &gt; 0, "✅ Tenho", "❌ Faltando")</f>
        <v>❌ Faltando</v>
      </c>
      <c r="D219" s="1" t="str">
        <f>_xlfn.XLOOKUP(B219, Substitutas!$B:$B, Substitutas!$A:$A, "-")</f>
        <v>-</v>
      </c>
    </row>
    <row r="220" spans="1:4" x14ac:dyDescent="0.25">
      <c r="A220" t="s">
        <v>620</v>
      </c>
      <c r="B220" t="s">
        <v>2765</v>
      </c>
      <c r="C220" s="1" t="str">
        <f>IF(COUNTIF(Substitutas!$B:$B, B220) &gt; 0, "✅ Tenho", "❌ Faltando")</f>
        <v>❌ Faltando</v>
      </c>
      <c r="D220" s="1" t="str">
        <f>_xlfn.XLOOKUP(B220, Substitutas!$B:$B, Substitutas!$A:$A, "-")</f>
        <v>-</v>
      </c>
    </row>
    <row r="221" spans="1:4" x14ac:dyDescent="0.25">
      <c r="A221" t="s">
        <v>623</v>
      </c>
      <c r="B221" t="s">
        <v>163</v>
      </c>
      <c r="C221" s="1" t="str">
        <f>IF(COUNTIF(Substitutas!$B:$B, B221) &gt; 0, "✅ Tenho", "❌ Faltando")</f>
        <v>❌ Faltando</v>
      </c>
      <c r="D221" s="1" t="str">
        <f>_xlfn.XLOOKUP(B221, Substitutas!$B:$B, Substitutas!$A:$A, "-")</f>
        <v>-</v>
      </c>
    </row>
    <row r="222" spans="1:4" x14ac:dyDescent="0.25">
      <c r="A222" t="s">
        <v>2616</v>
      </c>
      <c r="B222" t="s">
        <v>2678</v>
      </c>
      <c r="C222" s="1" t="str">
        <f>IF(COUNTIF(Substitutas!$B:$B, B222) &gt; 0, "✅ Tenho", "❌ Faltando")</f>
        <v>❌ Faltando</v>
      </c>
      <c r="D222" s="1" t="str">
        <f>_xlfn.XLOOKUP(B222, Substitutas!$B:$B, Substitutas!$A:$A, "-")</f>
        <v>-</v>
      </c>
    </row>
    <row r="223" spans="1:4" x14ac:dyDescent="0.25">
      <c r="A223" t="s">
        <v>615</v>
      </c>
      <c r="B223" t="s">
        <v>2751</v>
      </c>
      <c r="C223" s="1" t="str">
        <f>IF(COUNTIF(Substitutas!$B:$B, B223) &gt; 0, "✅ Tenho", "❌ Faltando")</f>
        <v>❌ Faltando</v>
      </c>
      <c r="D223" s="1" t="str">
        <f>_xlfn.XLOOKUP(B223, Substitutas!$B:$B, Substitutas!$A:$A, "-")</f>
        <v>-</v>
      </c>
    </row>
    <row r="224" spans="1:4" x14ac:dyDescent="0.25">
      <c r="A224" t="s">
        <v>622</v>
      </c>
      <c r="B224" t="s">
        <v>2771</v>
      </c>
      <c r="C224" s="1" t="str">
        <f>IF(COUNTIF(Substitutas!$B:$B, B224) &gt; 0, "✅ Tenho", "❌ Faltando")</f>
        <v>❌ Faltando</v>
      </c>
      <c r="D224" s="1" t="str">
        <f>_xlfn.XLOOKUP(B224, Substitutas!$B:$B, Substitutas!$A:$A, "-")</f>
        <v>-</v>
      </c>
    </row>
    <row r="225" spans="1:4" x14ac:dyDescent="0.25">
      <c r="A225" t="s">
        <v>632</v>
      </c>
      <c r="B225" t="s">
        <v>947</v>
      </c>
      <c r="C225" s="1" t="str">
        <f>IF(COUNTIF(Substitutas!$B:$B, B225) &gt; 0, "✅ Tenho", "❌ Faltando")</f>
        <v>❌ Faltando</v>
      </c>
      <c r="D225" s="1" t="str">
        <f>_xlfn.XLOOKUP(B225, Substitutas!$B:$B, Substitutas!$A:$A, "-")</f>
        <v>-</v>
      </c>
    </row>
    <row r="226" spans="1:4" x14ac:dyDescent="0.25">
      <c r="A226" t="s">
        <v>953</v>
      </c>
      <c r="B226" t="s">
        <v>977</v>
      </c>
      <c r="C226" s="1" t="str">
        <f>IF(COUNTIF(Substitutas!$B:$B, B226) &gt; 0, "✅ Tenho", "❌ Faltando")</f>
        <v>❌ Faltando</v>
      </c>
      <c r="D226" s="1" t="str">
        <f>_xlfn.XLOOKUP(B226, Substitutas!$B:$B, Substitutas!$A:$A, "-")</f>
        <v>-</v>
      </c>
    </row>
    <row r="227" spans="1:4" x14ac:dyDescent="0.25">
      <c r="A227" t="s">
        <v>633</v>
      </c>
      <c r="B227" t="s">
        <v>153</v>
      </c>
      <c r="C227" s="1" t="str">
        <f>IF(COUNTIF(Substitutas!$B:$B, B227) &gt; 0, "✅ Tenho", "❌ Faltando")</f>
        <v>❌ Faltando</v>
      </c>
      <c r="D227" s="1" t="str">
        <f>_xlfn.XLOOKUP(B227, Substitutas!$B:$B, Substitutas!$A:$A, "-")</f>
        <v>-</v>
      </c>
    </row>
    <row r="228" spans="1:4" x14ac:dyDescent="0.25">
      <c r="A228" t="s">
        <v>603</v>
      </c>
      <c r="B228" t="s">
        <v>488</v>
      </c>
      <c r="C228" s="1" t="str">
        <f>IF(COUNTIF(Substitutas!$B:$B, B228) &gt; 0, "✅ Tenho", "❌ Faltando")</f>
        <v>❌ Faltando</v>
      </c>
      <c r="D228" s="1" t="str">
        <f>_xlfn.XLOOKUP(B228, Substitutas!$B:$B, Substitutas!$A:$A, "-")</f>
        <v>-</v>
      </c>
    </row>
    <row r="229" spans="1:4" x14ac:dyDescent="0.25">
      <c r="A229" t="s">
        <v>611</v>
      </c>
      <c r="B229" t="s">
        <v>82</v>
      </c>
      <c r="C229" s="1" t="str">
        <f>IF(COUNTIF(Substitutas!$B:$B, B229) &gt; 0, "✅ Tenho", "❌ Faltando")</f>
        <v>❌ Faltando</v>
      </c>
      <c r="D229" s="1" t="str">
        <f>_xlfn.XLOOKUP(B229, Substitutas!$B:$B, Substitutas!$A:$A, "-")</f>
        <v>-</v>
      </c>
    </row>
    <row r="230" spans="1:4" x14ac:dyDescent="0.25">
      <c r="A230" t="s">
        <v>612</v>
      </c>
      <c r="B230" t="s">
        <v>82</v>
      </c>
      <c r="C230" s="1" t="str">
        <f>IF(COUNTIF(Substitutas!$B:$B, B230) &gt; 0, "✅ Tenho", "❌ Faltando")</f>
        <v>❌ Faltando</v>
      </c>
      <c r="D230" s="1" t="str">
        <f>_xlfn.XLOOKUP(B230, Substitutas!$B:$B, Substitutas!$A:$A, "-")</f>
        <v>-</v>
      </c>
    </row>
    <row r="231" spans="1:4" x14ac:dyDescent="0.25">
      <c r="A231" t="s">
        <v>610</v>
      </c>
      <c r="B231" t="s">
        <v>797</v>
      </c>
      <c r="C231" s="1" t="str">
        <f>IF(COUNTIF(Substitutas!$B:$B, B231) &gt; 0, "✅ Tenho", "❌ Faltando")</f>
        <v>❌ Faltando</v>
      </c>
      <c r="D231" s="1" t="str">
        <f>_xlfn.XLOOKUP(B231, Substitutas!$B:$B, Substitutas!$A:$A, "-")</f>
        <v>-</v>
      </c>
    </row>
    <row r="232" spans="1:4" x14ac:dyDescent="0.25">
      <c r="A232" t="s">
        <v>632</v>
      </c>
      <c r="B232" t="s">
        <v>202</v>
      </c>
      <c r="C232" s="1" t="str">
        <f>IF(COUNTIF(Substitutas!$B:$B, B232) &gt; 0, "✅ Tenho", "❌ Faltando")</f>
        <v>❌ Faltando</v>
      </c>
      <c r="D232" s="1" t="str">
        <f>_xlfn.XLOOKUP(B232, Substitutas!$B:$B, Substitutas!$A:$A, "-")</f>
        <v>-</v>
      </c>
    </row>
    <row r="233" spans="1:4" x14ac:dyDescent="0.25">
      <c r="A233" t="s">
        <v>632</v>
      </c>
      <c r="B233" t="s">
        <v>2758</v>
      </c>
      <c r="C233" s="1" t="str">
        <f>IF(COUNTIF(Substitutas!$B:$B, B233) &gt; 0, "✅ Tenho", "❌ Faltando")</f>
        <v>❌ Faltando</v>
      </c>
      <c r="D233" s="1" t="str">
        <f>_xlfn.XLOOKUP(B233, Substitutas!$B:$B, Substitutas!$A:$A, "-")</f>
        <v>-</v>
      </c>
    </row>
    <row r="234" spans="1:4" x14ac:dyDescent="0.25">
      <c r="A234" t="s">
        <v>610</v>
      </c>
      <c r="B234" t="s">
        <v>80</v>
      </c>
      <c r="C234" s="1" t="str">
        <f>IF(COUNTIF(Substitutas!$B:$B, B234) &gt; 0, "✅ Tenho", "❌ Faltando")</f>
        <v>❌ Faltando</v>
      </c>
      <c r="D234" s="1" t="str">
        <f>_xlfn.XLOOKUP(B234, Substitutas!$B:$B, Substitutas!$A:$A, "-")</f>
        <v>-</v>
      </c>
    </row>
    <row r="235" spans="1:4" x14ac:dyDescent="0.25">
      <c r="A235" t="s">
        <v>2616</v>
      </c>
      <c r="B235" t="s">
        <v>2648</v>
      </c>
      <c r="C235" s="1" t="str">
        <f>IF(COUNTIF(Substitutas!$B:$B, B235) &gt; 0, "✅ Tenho", "❌ Faltando")</f>
        <v>❌ Faltando</v>
      </c>
      <c r="D235" s="1" t="str">
        <f>_xlfn.XLOOKUP(B235, Substitutas!$B:$B, Substitutas!$A:$A, "-")</f>
        <v>-</v>
      </c>
    </row>
    <row r="236" spans="1:4" x14ac:dyDescent="0.25">
      <c r="A236" t="s">
        <v>603</v>
      </c>
      <c r="B236" t="s">
        <v>1006</v>
      </c>
      <c r="C236" s="1" t="str">
        <f>IF(COUNTIF(Substitutas!$B:$B, B236) &gt; 0, "✅ Tenho", "❌ Faltando")</f>
        <v>❌ Faltando</v>
      </c>
      <c r="D236" s="1" t="str">
        <f>_xlfn.XLOOKUP(B236, Substitutas!$B:$B, Substitutas!$A:$A, "-")</f>
        <v>-</v>
      </c>
    </row>
    <row r="237" spans="1:4" x14ac:dyDescent="0.25">
      <c r="A237" t="s">
        <v>605</v>
      </c>
      <c r="B237" t="s">
        <v>1006</v>
      </c>
      <c r="C237" s="1" t="str">
        <f>IF(COUNTIF(Substitutas!$B:$B, B237) &gt; 0, "✅ Tenho", "❌ Faltando")</f>
        <v>❌ Faltando</v>
      </c>
      <c r="D237" s="1" t="str">
        <f>_xlfn.XLOOKUP(B237, Substitutas!$B:$B, Substitutas!$A:$A, "-")</f>
        <v>-</v>
      </c>
    </row>
    <row r="238" spans="1:4" x14ac:dyDescent="0.25">
      <c r="A238" t="s">
        <v>618</v>
      </c>
      <c r="B238" t="s">
        <v>1006</v>
      </c>
      <c r="C238" s="1" t="str">
        <f>IF(COUNTIF(Substitutas!$B:$B, B238) &gt; 0, "✅ Tenho", "❌ Faltando")</f>
        <v>❌ Faltando</v>
      </c>
      <c r="D238" s="1" t="str">
        <f>_xlfn.XLOOKUP(B238, Substitutas!$B:$B, Substitutas!$A:$A, "-")</f>
        <v>-</v>
      </c>
    </row>
    <row r="239" spans="1:4" x14ac:dyDescent="0.25">
      <c r="A239" t="s">
        <v>622</v>
      </c>
      <c r="B239" t="s">
        <v>2788</v>
      </c>
      <c r="C239" s="1" t="str">
        <f>IF(COUNTIF(Substitutas!$B:$B, B239) &gt; 0, "✅ Tenho", "❌ Faltando")</f>
        <v>❌ Faltando</v>
      </c>
      <c r="D239" s="1" t="str">
        <f>_xlfn.XLOOKUP(B239, Substitutas!$B:$B, Substitutas!$A:$A, "-")</f>
        <v>-</v>
      </c>
    </row>
    <row r="240" spans="1:4" x14ac:dyDescent="0.25">
      <c r="A240" t="s">
        <v>630</v>
      </c>
      <c r="B240" t="s">
        <v>194</v>
      </c>
      <c r="C240" s="1" t="str">
        <f>IF(COUNTIF(Substitutas!$B:$B, B240) &gt; 0, "✅ Tenho", "❌ Faltando")</f>
        <v>❌ Faltando</v>
      </c>
      <c r="D240" s="1" t="str">
        <f>_xlfn.XLOOKUP(B240, Substitutas!$B:$B, Substitutas!$A:$A, "-")</f>
        <v>-</v>
      </c>
    </row>
    <row r="241" spans="1:4" x14ac:dyDescent="0.25">
      <c r="A241" t="s">
        <v>2616</v>
      </c>
      <c r="B241" t="s">
        <v>639</v>
      </c>
      <c r="C241" s="1" t="str">
        <f>IF(COUNTIF(Substitutas!$B:$B, B241) &gt; 0, "✅ Tenho", "❌ Faltando")</f>
        <v>✅ Tenho</v>
      </c>
      <c r="D241" s="1" t="str">
        <f>_xlfn.XLOOKUP(B241, Substitutas!$B:$B, Substitutas!$A:$A, "-")</f>
        <v>Baylen.xlsx</v>
      </c>
    </row>
    <row r="242" spans="1:4" x14ac:dyDescent="0.25">
      <c r="A242" t="s">
        <v>2616</v>
      </c>
      <c r="B242" t="s">
        <v>639</v>
      </c>
      <c r="C242" s="1" t="str">
        <f>IF(COUNTIF(Substitutas!$B:$B, B242) &gt; 0, "✅ Tenho", "❌ Faltando")</f>
        <v>✅ Tenho</v>
      </c>
      <c r="D242" s="1" t="str">
        <f>_xlfn.XLOOKUP(B242, Substitutas!$B:$B, Substitutas!$A:$A, "-")</f>
        <v>Baylen.xlsx</v>
      </c>
    </row>
    <row r="243" spans="1:4" x14ac:dyDescent="0.25">
      <c r="A243" t="s">
        <v>2616</v>
      </c>
      <c r="B243" t="s">
        <v>639</v>
      </c>
      <c r="C243" s="1" t="str">
        <f>IF(COUNTIF(Substitutas!$B:$B, B243) &gt; 0, "✅ Tenho", "❌ Faltando")</f>
        <v>✅ Tenho</v>
      </c>
      <c r="D243" s="1" t="str">
        <f>_xlfn.XLOOKUP(B243, Substitutas!$B:$B, Substitutas!$A:$A, "-")</f>
        <v>Baylen.xlsx</v>
      </c>
    </row>
    <row r="244" spans="1:4" x14ac:dyDescent="0.25">
      <c r="A244" t="s">
        <v>2616</v>
      </c>
      <c r="B244" t="s">
        <v>639</v>
      </c>
      <c r="C244" s="1" t="str">
        <f>IF(COUNTIF(Substitutas!$B:$B, B244) &gt; 0, "✅ Tenho", "❌ Faltando")</f>
        <v>✅ Tenho</v>
      </c>
      <c r="D244" s="1" t="str">
        <f>_xlfn.XLOOKUP(B244, Substitutas!$B:$B, Substitutas!$A:$A, "-")</f>
        <v>Baylen.xlsx</v>
      </c>
    </row>
    <row r="245" spans="1:4" x14ac:dyDescent="0.25">
      <c r="A245" t="s">
        <v>2616</v>
      </c>
      <c r="B245" t="s">
        <v>639</v>
      </c>
      <c r="C245" s="1" t="str">
        <f>IF(COUNTIF(Substitutas!$B:$B, B245) &gt; 0, "✅ Tenho", "❌ Faltando")</f>
        <v>✅ Tenho</v>
      </c>
      <c r="D245" s="1" t="str">
        <f>_xlfn.XLOOKUP(B245, Substitutas!$B:$B, Substitutas!$A:$A, "-")</f>
        <v>Baylen.xlsx</v>
      </c>
    </row>
    <row r="246" spans="1:4" x14ac:dyDescent="0.25">
      <c r="A246" t="s">
        <v>2616</v>
      </c>
      <c r="B246" t="s">
        <v>639</v>
      </c>
      <c r="C246" s="1" t="str">
        <f>IF(COUNTIF(Substitutas!$B:$B, B246) &gt; 0, "✅ Tenho", "❌ Faltando")</f>
        <v>✅ Tenho</v>
      </c>
      <c r="D246" s="1" t="str">
        <f>_xlfn.XLOOKUP(B246, Substitutas!$B:$B, Substitutas!$A:$A, "-")</f>
        <v>Baylen.xlsx</v>
      </c>
    </row>
    <row r="247" spans="1:4" x14ac:dyDescent="0.25">
      <c r="A247" t="s">
        <v>2616</v>
      </c>
      <c r="B247" t="s">
        <v>639</v>
      </c>
      <c r="C247" s="1" t="str">
        <f>IF(COUNTIF(Substitutas!$B:$B, B247) &gt; 0, "✅ Tenho", "❌ Faltando")</f>
        <v>✅ Tenho</v>
      </c>
      <c r="D247" s="1" t="str">
        <f>_xlfn.XLOOKUP(B247, Substitutas!$B:$B, Substitutas!$A:$A, "-")</f>
        <v>Baylen.xlsx</v>
      </c>
    </row>
    <row r="248" spans="1:4" x14ac:dyDescent="0.25">
      <c r="A248" t="s">
        <v>2616</v>
      </c>
      <c r="B248" t="s">
        <v>639</v>
      </c>
      <c r="C248" s="1" t="str">
        <f>IF(COUNTIF(Substitutas!$B:$B, B248) &gt; 0, "✅ Tenho", "❌ Faltando")</f>
        <v>✅ Tenho</v>
      </c>
      <c r="D248" s="1" t="str">
        <f>_xlfn.XLOOKUP(B248, Substitutas!$B:$B, Substitutas!$A:$A, "-")</f>
        <v>Baylen.xlsx</v>
      </c>
    </row>
    <row r="249" spans="1:4" x14ac:dyDescent="0.25">
      <c r="A249" t="s">
        <v>2616</v>
      </c>
      <c r="B249" t="s">
        <v>639</v>
      </c>
      <c r="C249" s="1" t="str">
        <f>IF(COUNTIF(Substitutas!$B:$B, B249) &gt; 0, "✅ Tenho", "❌ Faltando")</f>
        <v>✅ Tenho</v>
      </c>
      <c r="D249" s="1" t="str">
        <f>_xlfn.XLOOKUP(B249, Substitutas!$B:$B, Substitutas!$A:$A, "-")</f>
        <v>Baylen.xlsx</v>
      </c>
    </row>
    <row r="250" spans="1:4" x14ac:dyDescent="0.25">
      <c r="A250" t="s">
        <v>612</v>
      </c>
      <c r="B250" t="s">
        <v>88</v>
      </c>
      <c r="C250" s="1" t="str">
        <f>IF(COUNTIF(Substitutas!$B:$B, B250) &gt; 0, "✅ Tenho", "❌ Faltando")</f>
        <v>❌ Faltando</v>
      </c>
      <c r="D250" s="1" t="str">
        <f>_xlfn.XLOOKUP(B250, Substitutas!$B:$B, Substitutas!$A:$A, "-")</f>
        <v>-</v>
      </c>
    </row>
    <row r="251" spans="1:4" x14ac:dyDescent="0.25">
      <c r="A251" t="s">
        <v>616</v>
      </c>
      <c r="B251" t="s">
        <v>2755</v>
      </c>
      <c r="C251" s="1" t="str">
        <f>IF(COUNTIF(Substitutas!$B:$B, B251) &gt; 0, "✅ Tenho", "❌ Faltando")</f>
        <v>❌ Faltando</v>
      </c>
      <c r="D251" s="1" t="str">
        <f>_xlfn.XLOOKUP(B251, Substitutas!$B:$B, Substitutas!$A:$A, "-")</f>
        <v>-</v>
      </c>
    </row>
    <row r="252" spans="1:4" x14ac:dyDescent="0.25">
      <c r="A252" t="s">
        <v>614</v>
      </c>
      <c r="B252" t="s">
        <v>1008</v>
      </c>
      <c r="C252" s="1" t="str">
        <f>IF(COUNTIF(Substitutas!$B:$B, B252) &gt; 0, "✅ Tenho", "❌ Faltando")</f>
        <v>❌ Faltando</v>
      </c>
      <c r="D252" s="1" t="str">
        <f>_xlfn.XLOOKUP(B252, Substitutas!$B:$B, Substitutas!$A:$A, "-")</f>
        <v>-</v>
      </c>
    </row>
    <row r="253" spans="1:4" x14ac:dyDescent="0.25">
      <c r="A253" t="s">
        <v>953</v>
      </c>
      <c r="B253" t="s">
        <v>983</v>
      </c>
      <c r="C253" s="1" t="str">
        <f>IF(COUNTIF(Substitutas!$B:$B, B253) &gt; 0, "✅ Tenho", "❌ Faltando")</f>
        <v>❌ Faltando</v>
      </c>
      <c r="D253" s="1" t="str">
        <f>_xlfn.XLOOKUP(B253, Substitutas!$B:$B, Substitutas!$A:$A, "-")</f>
        <v>-</v>
      </c>
    </row>
    <row r="254" spans="1:4" x14ac:dyDescent="0.25">
      <c r="A254" t="s">
        <v>602</v>
      </c>
      <c r="B254" t="s">
        <v>774</v>
      </c>
      <c r="C254" s="1" t="str">
        <f>IF(COUNTIF(Substitutas!$B:$B, B254) &gt; 0, "✅ Tenho", "❌ Faltando")</f>
        <v>❌ Faltando</v>
      </c>
      <c r="D254" s="1" t="str">
        <f>_xlfn.XLOOKUP(B254, Substitutas!$B:$B, Substitutas!$A:$A, "-")</f>
        <v>-</v>
      </c>
    </row>
    <row r="255" spans="1:4" x14ac:dyDescent="0.25">
      <c r="A255" t="s">
        <v>613</v>
      </c>
      <c r="B255" t="s">
        <v>97</v>
      </c>
      <c r="C255" s="1" t="str">
        <f>IF(COUNTIF(Substitutas!$B:$B, B255) &gt; 0, "✅ Tenho", "❌ Faltando")</f>
        <v>❌ Faltando</v>
      </c>
      <c r="D255" s="1" t="str">
        <f>_xlfn.XLOOKUP(B255, Substitutas!$B:$B, Substitutas!$A:$A, "-")</f>
        <v>-</v>
      </c>
    </row>
    <row r="256" spans="1:4" x14ac:dyDescent="0.25">
      <c r="A256" t="s">
        <v>633</v>
      </c>
      <c r="B256" t="s">
        <v>2784</v>
      </c>
      <c r="C256" s="1" t="str">
        <f>IF(COUNTIF(Substitutas!$B:$B, B256) &gt; 0, "✅ Tenho", "❌ Faltando")</f>
        <v>❌ Faltando</v>
      </c>
      <c r="D256" s="1" t="str">
        <f>_xlfn.XLOOKUP(B256, Substitutas!$B:$B, Substitutas!$A:$A, "-")</f>
        <v>-</v>
      </c>
    </row>
    <row r="257" spans="1:4" x14ac:dyDescent="0.25">
      <c r="A257" t="s">
        <v>623</v>
      </c>
      <c r="B257" t="s">
        <v>168</v>
      </c>
      <c r="C257" s="1" t="str">
        <f>IF(COUNTIF(Substitutas!$B:$B, B257) &gt; 0, "✅ Tenho", "❌ Faltando")</f>
        <v>❌ Faltando</v>
      </c>
      <c r="D257" s="1" t="str">
        <f>_xlfn.XLOOKUP(B257, Substitutas!$B:$B, Substitutas!$A:$A, "-")</f>
        <v>-</v>
      </c>
    </row>
    <row r="258" spans="1:4" x14ac:dyDescent="0.25">
      <c r="A258" t="s">
        <v>608</v>
      </c>
      <c r="B258" t="s">
        <v>64</v>
      </c>
      <c r="C258" s="1" t="str">
        <f>IF(COUNTIF(Substitutas!$B:$B, B258) &gt; 0, "✅ Tenho", "❌ Faltando")</f>
        <v>❌ Faltando</v>
      </c>
      <c r="D258" s="1" t="str">
        <f>_xlfn.XLOOKUP(B258, Substitutas!$B:$B, Substitutas!$A:$A, "-")</f>
        <v>-</v>
      </c>
    </row>
    <row r="259" spans="1:4" x14ac:dyDescent="0.25">
      <c r="A259" t="s">
        <v>2616</v>
      </c>
      <c r="B259" t="s">
        <v>2829</v>
      </c>
      <c r="C259" s="1" t="str">
        <f>IF(COUNTIF(Substitutas!$B:$B, B259) &gt; 0, "✅ Tenho", "❌ Faltando")</f>
        <v>❌ Faltando</v>
      </c>
      <c r="D259" s="1" t="str">
        <f>_xlfn.XLOOKUP(B259, Substitutas!$B:$B, Substitutas!$A:$A, "-")</f>
        <v>-</v>
      </c>
    </row>
    <row r="260" spans="1:4" x14ac:dyDescent="0.25">
      <c r="A260" t="s">
        <v>1045</v>
      </c>
      <c r="B260" t="s">
        <v>1066</v>
      </c>
      <c r="C260" s="1" t="str">
        <f>IF(COUNTIF(Substitutas!$B:$B, B260) &gt; 0, "✅ Tenho", "❌ Faltando")</f>
        <v>❌ Faltando</v>
      </c>
      <c r="D260" s="1" t="str">
        <f>_xlfn.XLOOKUP(B260, Substitutas!$B:$B, Substitutas!$A:$A, "-")</f>
        <v>-</v>
      </c>
    </row>
    <row r="261" spans="1:4" x14ac:dyDescent="0.25">
      <c r="A261" t="s">
        <v>614</v>
      </c>
      <c r="B261" t="s">
        <v>895</v>
      </c>
      <c r="C261" s="1" t="str">
        <f>IF(COUNTIF(Substitutas!$B:$B, B261) &gt; 0, "✅ Tenho", "❌ Faltando")</f>
        <v>❌ Faltando</v>
      </c>
      <c r="D261" s="1" t="str">
        <f>_xlfn.XLOOKUP(B261, Substitutas!$B:$B, Substitutas!$A:$A, "-")</f>
        <v>-</v>
      </c>
    </row>
    <row r="262" spans="1:4" x14ac:dyDescent="0.25">
      <c r="A262" t="s">
        <v>623</v>
      </c>
      <c r="B262" t="s">
        <v>167</v>
      </c>
      <c r="C262" s="1" t="str">
        <f>IF(COUNTIF(Substitutas!$B:$B, B262) &gt; 0, "✅ Tenho", "❌ Faltando")</f>
        <v>❌ Faltando</v>
      </c>
      <c r="D262" s="1" t="str">
        <f>_xlfn.XLOOKUP(B262, Substitutas!$B:$B, Substitutas!$A:$A, "-")</f>
        <v>-</v>
      </c>
    </row>
    <row r="263" spans="1:4" x14ac:dyDescent="0.25">
      <c r="A263" t="s">
        <v>2616</v>
      </c>
      <c r="B263" t="s">
        <v>2669</v>
      </c>
      <c r="C263" s="1" t="str">
        <f>IF(COUNTIF(Substitutas!$B:$B, B263) &gt; 0, "✅ Tenho", "❌ Faltando")</f>
        <v>❌ Faltando</v>
      </c>
      <c r="D263" s="1" t="str">
        <f>_xlfn.XLOOKUP(B263, Substitutas!$B:$B, Substitutas!$A:$A, "-")</f>
        <v>-</v>
      </c>
    </row>
    <row r="264" spans="1:4" x14ac:dyDescent="0.25">
      <c r="A264" t="s">
        <v>614</v>
      </c>
      <c r="B264" t="s">
        <v>945</v>
      </c>
      <c r="C264" s="1" t="str">
        <f>IF(COUNTIF(Substitutas!$B:$B, B264) &gt; 0, "✅ Tenho", "❌ Faltando")</f>
        <v>❌ Faltando</v>
      </c>
      <c r="D264" s="1" t="str">
        <f>_xlfn.XLOOKUP(B264, Substitutas!$B:$B, Substitutas!$A:$A, "-")</f>
        <v>-</v>
      </c>
    </row>
    <row r="265" spans="1:4" x14ac:dyDescent="0.25">
      <c r="A265" t="s">
        <v>622</v>
      </c>
      <c r="B265" t="s">
        <v>2770</v>
      </c>
      <c r="C265" s="1" t="str">
        <f>IF(COUNTIF(Substitutas!$B:$B, B265) &gt; 0, "✅ Tenho", "❌ Faltando")</f>
        <v>❌ Faltando</v>
      </c>
      <c r="D265" s="1" t="str">
        <f>_xlfn.XLOOKUP(B265, Substitutas!$B:$B, Substitutas!$A:$A, "-")</f>
        <v>-</v>
      </c>
    </row>
    <row r="266" spans="1:4" x14ac:dyDescent="0.25">
      <c r="A266" t="s">
        <v>2616</v>
      </c>
      <c r="B266" t="s">
        <v>2638</v>
      </c>
      <c r="C266" s="1" t="str">
        <f>IF(COUNTIF(Substitutas!$B:$B, B266) &gt; 0, "✅ Tenho", "❌ Faltando")</f>
        <v>❌ Faltando</v>
      </c>
      <c r="D266" s="1" t="str">
        <f>_xlfn.XLOOKUP(B266, Substitutas!$B:$B, Substitutas!$A:$A, "-")</f>
        <v>-</v>
      </c>
    </row>
    <row r="267" spans="1:4" x14ac:dyDescent="0.25">
      <c r="A267" t="s">
        <v>953</v>
      </c>
      <c r="B267" t="s">
        <v>958</v>
      </c>
      <c r="C267" s="1" t="str">
        <f>IF(COUNTIF(Substitutas!$B:$B, B267) &gt; 0, "✅ Tenho", "❌ Faltando")</f>
        <v>❌ Faltando</v>
      </c>
      <c r="D267" s="1" t="str">
        <f>_xlfn.XLOOKUP(B267, Substitutas!$B:$B, Substitutas!$A:$A, "-")</f>
        <v>-</v>
      </c>
    </row>
    <row r="268" spans="1:4" x14ac:dyDescent="0.25">
      <c r="A268" t="s">
        <v>953</v>
      </c>
      <c r="B268" t="s">
        <v>986</v>
      </c>
      <c r="C268" s="1" t="str">
        <f>IF(COUNTIF(Substitutas!$B:$B, B268) &gt; 0, "✅ Tenho", "❌ Faltando")</f>
        <v>❌ Faltando</v>
      </c>
      <c r="D268" s="1" t="str">
        <f>_xlfn.XLOOKUP(B268, Substitutas!$B:$B, Substitutas!$A:$A, "-")</f>
        <v>-</v>
      </c>
    </row>
    <row r="269" spans="1:4" x14ac:dyDescent="0.25">
      <c r="A269" t="s">
        <v>609</v>
      </c>
      <c r="B269" t="s">
        <v>71</v>
      </c>
      <c r="C269" s="1" t="str">
        <f>IF(COUNTIF(Substitutas!$B:$B, B269) &gt; 0, "✅ Tenho", "❌ Faltando")</f>
        <v>❌ Faltando</v>
      </c>
      <c r="D269" s="1" t="str">
        <f>_xlfn.XLOOKUP(B269, Substitutas!$B:$B, Substitutas!$A:$A, "-")</f>
        <v>-</v>
      </c>
    </row>
    <row r="270" spans="1:4" x14ac:dyDescent="0.25">
      <c r="A270" t="s">
        <v>2616</v>
      </c>
      <c r="B270" t="s">
        <v>723</v>
      </c>
      <c r="C270" s="1" t="str">
        <f>IF(COUNTIF(Substitutas!$B:$B, B270) &gt; 0, "✅ Tenho", "❌ Faltando")</f>
        <v>✅ Tenho</v>
      </c>
      <c r="D270" s="1" t="str">
        <f>_xlfn.XLOOKUP(B270, Substitutas!$B:$B, Substitutas!$A:$A, "-")</f>
        <v>Ool.xlsx</v>
      </c>
    </row>
    <row r="271" spans="1:4" x14ac:dyDescent="0.25">
      <c r="A271" t="s">
        <v>2616</v>
      </c>
      <c r="B271" t="s">
        <v>2673</v>
      </c>
      <c r="C271" s="1" t="str">
        <f>IF(COUNTIF(Substitutas!$B:$B, B271) &gt; 0, "✅ Tenho", "❌ Faltando")</f>
        <v>❌ Faltando</v>
      </c>
      <c r="D271" s="1" t="str">
        <f>_xlfn.XLOOKUP(B271, Substitutas!$B:$B, Substitutas!$A:$A, "-")</f>
        <v>-</v>
      </c>
    </row>
    <row r="272" spans="1:4" x14ac:dyDescent="0.25">
      <c r="A272" t="s">
        <v>635</v>
      </c>
      <c r="B272" t="s">
        <v>145</v>
      </c>
      <c r="C272" s="1" t="str">
        <f>IF(COUNTIF(Substitutas!$B:$B, B272) &gt; 0, "✅ Tenho", "❌ Faltando")</f>
        <v>❌ Faltando</v>
      </c>
      <c r="D272" s="1" t="str">
        <f>_xlfn.XLOOKUP(B272, Substitutas!$B:$B, Substitutas!$A:$A, "-")</f>
        <v>-</v>
      </c>
    </row>
    <row r="273" spans="1:4" x14ac:dyDescent="0.25">
      <c r="A273" t="s">
        <v>602</v>
      </c>
      <c r="B273" t="s">
        <v>777</v>
      </c>
      <c r="C273" s="1" t="str">
        <f>IF(COUNTIF(Substitutas!$B:$B, B273) &gt; 0, "✅ Tenho", "❌ Faltando")</f>
        <v>❌ Faltando</v>
      </c>
      <c r="D273" s="1" t="str">
        <f>_xlfn.XLOOKUP(B273, Substitutas!$B:$B, Substitutas!$A:$A, "-")</f>
        <v>-</v>
      </c>
    </row>
    <row r="274" spans="1:4" x14ac:dyDescent="0.25">
      <c r="A274" t="s">
        <v>2616</v>
      </c>
      <c r="B274" t="s">
        <v>641</v>
      </c>
      <c r="C274" s="1" t="str">
        <f>IF(COUNTIF(Substitutas!$B:$B, B274) &gt; 0, "✅ Tenho", "❌ Faltando")</f>
        <v>✅ Tenho</v>
      </c>
      <c r="D274" s="1" t="str">
        <f>_xlfn.XLOOKUP(B274, Substitutas!$B:$B, Substitutas!$A:$A, "-")</f>
        <v>Alela.xlsx</v>
      </c>
    </row>
    <row r="275" spans="1:4" x14ac:dyDescent="0.25">
      <c r="A275" t="s">
        <v>2616</v>
      </c>
      <c r="B275" t="s">
        <v>641</v>
      </c>
      <c r="C275" s="1" t="str">
        <f>IF(COUNTIF(Substitutas!$B:$B, B275) &gt; 0, "✅ Tenho", "❌ Faltando")</f>
        <v>✅ Tenho</v>
      </c>
      <c r="D275" s="1" t="str">
        <f>_xlfn.XLOOKUP(B275, Substitutas!$B:$B, Substitutas!$A:$A, "-")</f>
        <v>Alela.xlsx</v>
      </c>
    </row>
    <row r="276" spans="1:4" x14ac:dyDescent="0.25">
      <c r="A276" t="s">
        <v>2616</v>
      </c>
      <c r="B276" t="s">
        <v>641</v>
      </c>
      <c r="C276" s="1" t="str">
        <f>IF(COUNTIF(Substitutas!$B:$B, B276) &gt; 0, "✅ Tenho", "❌ Faltando")</f>
        <v>✅ Tenho</v>
      </c>
      <c r="D276" s="1" t="str">
        <f>_xlfn.XLOOKUP(B276, Substitutas!$B:$B, Substitutas!$A:$A, "-")</f>
        <v>Alela.xlsx</v>
      </c>
    </row>
    <row r="277" spans="1:4" x14ac:dyDescent="0.25">
      <c r="A277" t="s">
        <v>2616</v>
      </c>
      <c r="B277" t="s">
        <v>641</v>
      </c>
      <c r="C277" s="1" t="str">
        <f>IF(COUNTIF(Substitutas!$B:$B, B277) &gt; 0, "✅ Tenho", "❌ Faltando")</f>
        <v>✅ Tenho</v>
      </c>
      <c r="D277" s="1" t="str">
        <f>_xlfn.XLOOKUP(B277, Substitutas!$B:$B, Substitutas!$A:$A, "-")</f>
        <v>Alela.xlsx</v>
      </c>
    </row>
    <row r="278" spans="1:4" x14ac:dyDescent="0.25">
      <c r="A278" t="s">
        <v>2616</v>
      </c>
      <c r="B278" t="s">
        <v>641</v>
      </c>
      <c r="C278" s="1" t="str">
        <f>IF(COUNTIF(Substitutas!$B:$B, B278) &gt; 0, "✅ Tenho", "❌ Faltando")</f>
        <v>✅ Tenho</v>
      </c>
      <c r="D278" s="1" t="str">
        <f>_xlfn.XLOOKUP(B278, Substitutas!$B:$B, Substitutas!$A:$A, "-")</f>
        <v>Alela.xlsx</v>
      </c>
    </row>
    <row r="279" spans="1:4" x14ac:dyDescent="0.25">
      <c r="A279" t="s">
        <v>2616</v>
      </c>
      <c r="B279" t="s">
        <v>641</v>
      </c>
      <c r="C279" s="1" t="str">
        <f>IF(COUNTIF(Substitutas!$B:$B, B279) &gt; 0, "✅ Tenho", "❌ Faltando")</f>
        <v>✅ Tenho</v>
      </c>
      <c r="D279" s="1" t="str">
        <f>_xlfn.XLOOKUP(B279, Substitutas!$B:$B, Substitutas!$A:$A, "-")</f>
        <v>Alela.xlsx</v>
      </c>
    </row>
    <row r="280" spans="1:4" x14ac:dyDescent="0.25">
      <c r="A280" t="s">
        <v>2616</v>
      </c>
      <c r="B280" t="s">
        <v>641</v>
      </c>
      <c r="C280" s="1" t="str">
        <f>IF(COUNTIF(Substitutas!$B:$B, B280) &gt; 0, "✅ Tenho", "❌ Faltando")</f>
        <v>✅ Tenho</v>
      </c>
      <c r="D280" s="1" t="str">
        <f>_xlfn.XLOOKUP(B280, Substitutas!$B:$B, Substitutas!$A:$A, "-")</f>
        <v>Alela.xlsx</v>
      </c>
    </row>
    <row r="281" spans="1:4" x14ac:dyDescent="0.25">
      <c r="A281" t="s">
        <v>2616</v>
      </c>
      <c r="B281" t="s">
        <v>641</v>
      </c>
      <c r="C281" s="1" t="str">
        <f>IF(COUNTIF(Substitutas!$B:$B, B281) &gt; 0, "✅ Tenho", "❌ Faltando")</f>
        <v>✅ Tenho</v>
      </c>
      <c r="D281" s="1" t="str">
        <f>_xlfn.XLOOKUP(B281, Substitutas!$B:$B, Substitutas!$A:$A, "-")</f>
        <v>Alela.xlsx</v>
      </c>
    </row>
    <row r="282" spans="1:4" x14ac:dyDescent="0.25">
      <c r="A282" t="s">
        <v>2616</v>
      </c>
      <c r="B282" t="s">
        <v>641</v>
      </c>
      <c r="C282" s="1" t="str">
        <f>IF(COUNTIF(Substitutas!$B:$B, B282) &gt; 0, "✅ Tenho", "❌ Faltando")</f>
        <v>✅ Tenho</v>
      </c>
      <c r="D282" s="1" t="str">
        <f>_xlfn.XLOOKUP(B282, Substitutas!$B:$B, Substitutas!$A:$A, "-")</f>
        <v>Alela.xlsx</v>
      </c>
    </row>
    <row r="283" spans="1:4" x14ac:dyDescent="0.25">
      <c r="A283" t="s">
        <v>601</v>
      </c>
      <c r="B283" t="s">
        <v>8</v>
      </c>
      <c r="C283" s="1" t="str">
        <f>IF(COUNTIF(Substitutas!$B:$B, B283) &gt; 0, "✅ Tenho", "❌ Faltando")</f>
        <v>❌ Faltando</v>
      </c>
      <c r="D283" s="1" t="str">
        <f>_xlfn.XLOOKUP(B283, Substitutas!$B:$B, Substitutas!$A:$A, "-")</f>
        <v>-</v>
      </c>
    </row>
    <row r="284" spans="1:4" x14ac:dyDescent="0.25">
      <c r="A284" t="s">
        <v>628</v>
      </c>
      <c r="B284" t="s">
        <v>175</v>
      </c>
      <c r="C284" s="1" t="str">
        <f>IF(COUNTIF(Substitutas!$B:$B, B284) &gt; 0, "✅ Tenho", "❌ Faltando")</f>
        <v>❌ Faltando</v>
      </c>
      <c r="D284" s="1" t="str">
        <f>_xlfn.XLOOKUP(B284, Substitutas!$B:$B, Substitutas!$A:$A, "-")</f>
        <v>-</v>
      </c>
    </row>
    <row r="285" spans="1:4" x14ac:dyDescent="0.25">
      <c r="A285" t="s">
        <v>2616</v>
      </c>
      <c r="B285" t="s">
        <v>2635</v>
      </c>
      <c r="C285" s="1" t="str">
        <f>IF(COUNTIF(Substitutas!$B:$B, B285) &gt; 0, "✅ Tenho", "❌ Faltando")</f>
        <v>❌ Faltando</v>
      </c>
      <c r="D285" s="1" t="str">
        <f>_xlfn.XLOOKUP(B285, Substitutas!$B:$B, Substitutas!$A:$A, "-")</f>
        <v>-</v>
      </c>
    </row>
    <row r="286" spans="1:4" x14ac:dyDescent="0.25">
      <c r="A286" t="s">
        <v>610</v>
      </c>
      <c r="B286" t="s">
        <v>800</v>
      </c>
      <c r="C286" s="1" t="str">
        <f>IF(COUNTIF(Substitutas!$B:$B, B286) &gt; 0, "✅ Tenho", "❌ Faltando")</f>
        <v>❌ Faltando</v>
      </c>
      <c r="D286" s="1" t="str">
        <f>_xlfn.XLOOKUP(B286, Substitutas!$B:$B, Substitutas!$A:$A, "-")</f>
        <v>-</v>
      </c>
    </row>
    <row r="287" spans="1:4" x14ac:dyDescent="0.25">
      <c r="A287" t="s">
        <v>953</v>
      </c>
      <c r="B287" t="s">
        <v>973</v>
      </c>
      <c r="C287" s="1" t="str">
        <f>IF(COUNTIF(Substitutas!$B:$B, B287) &gt; 0, "✅ Tenho", "❌ Faltando")</f>
        <v>❌ Faltando</v>
      </c>
      <c r="D287" s="1" t="str">
        <f>_xlfn.XLOOKUP(B287, Substitutas!$B:$B, Substitutas!$A:$A, "-")</f>
        <v>-</v>
      </c>
    </row>
    <row r="288" spans="1:4" x14ac:dyDescent="0.25">
      <c r="A288" t="s">
        <v>633</v>
      </c>
      <c r="B288" t="s">
        <v>214</v>
      </c>
      <c r="C288" s="1" t="str">
        <f>IF(COUNTIF(Substitutas!$B:$B, B288) &gt; 0, "✅ Tenho", "❌ Faltando")</f>
        <v>❌ Faltando</v>
      </c>
      <c r="D288" s="1" t="str">
        <f>_xlfn.XLOOKUP(B288, Substitutas!$B:$B, Substitutas!$A:$A, "-")</f>
        <v>-</v>
      </c>
    </row>
    <row r="289" spans="1:4" x14ac:dyDescent="0.25">
      <c r="A289" t="s">
        <v>605</v>
      </c>
      <c r="B289" t="s">
        <v>42</v>
      </c>
      <c r="C289" s="1" t="str">
        <f>IF(COUNTIF(Substitutas!$B:$B, B289) &gt; 0, "✅ Tenho", "❌ Faltando")</f>
        <v>❌ Faltando</v>
      </c>
      <c r="D289" s="1" t="str">
        <f>_xlfn.XLOOKUP(B289, Substitutas!$B:$B, Substitutas!$A:$A, "-")</f>
        <v>-</v>
      </c>
    </row>
    <row r="290" spans="1:4" x14ac:dyDescent="0.25">
      <c r="A290" t="s">
        <v>2616</v>
      </c>
      <c r="B290" t="s">
        <v>2644</v>
      </c>
      <c r="C290" s="1" t="str">
        <f>IF(COUNTIF(Substitutas!$B:$B, B290) &gt; 0, "✅ Tenho", "❌ Faltando")</f>
        <v>❌ Faltando</v>
      </c>
      <c r="D290" s="1" t="str">
        <f>_xlfn.XLOOKUP(B290, Substitutas!$B:$B, Substitutas!$A:$A, "-")</f>
        <v>-</v>
      </c>
    </row>
    <row r="291" spans="1:4" x14ac:dyDescent="0.25">
      <c r="A291" t="s">
        <v>610</v>
      </c>
      <c r="B291" t="s">
        <v>805</v>
      </c>
      <c r="C291" s="1" t="str">
        <f>IF(COUNTIF(Substitutas!$B:$B, B291) &gt; 0, "✅ Tenho", "❌ Faltando")</f>
        <v>❌ Faltando</v>
      </c>
      <c r="D291" s="1" t="str">
        <f>_xlfn.XLOOKUP(B291, Substitutas!$B:$B, Substitutas!$A:$A, "-")</f>
        <v>-</v>
      </c>
    </row>
    <row r="292" spans="1:4" x14ac:dyDescent="0.25">
      <c r="A292" t="s">
        <v>629</v>
      </c>
      <c r="B292" t="s">
        <v>2779</v>
      </c>
      <c r="C292" s="1" t="str">
        <f>IF(COUNTIF(Substitutas!$B:$B, B292) &gt; 0, "✅ Tenho", "❌ Faltando")</f>
        <v>❌ Faltando</v>
      </c>
      <c r="D292" s="1" t="str">
        <f>_xlfn.XLOOKUP(B292, Substitutas!$B:$B, Substitutas!$A:$A, "-")</f>
        <v>-</v>
      </c>
    </row>
    <row r="293" spans="1:4" x14ac:dyDescent="0.25">
      <c r="A293" t="s">
        <v>614</v>
      </c>
      <c r="B293" t="s">
        <v>103</v>
      </c>
      <c r="C293" s="1" t="str">
        <f>IF(COUNTIF(Substitutas!$B:$B, B293) &gt; 0, "✅ Tenho", "❌ Faltando")</f>
        <v>❌ Faltando</v>
      </c>
      <c r="D293" s="1" t="str">
        <f>_xlfn.XLOOKUP(B293, Substitutas!$B:$B, Substitutas!$A:$A, "-")</f>
        <v>-</v>
      </c>
    </row>
    <row r="294" spans="1:4" x14ac:dyDescent="0.25">
      <c r="A294" t="s">
        <v>609</v>
      </c>
      <c r="B294" t="s">
        <v>67</v>
      </c>
      <c r="C294" s="1" t="str">
        <f>IF(COUNTIF(Substitutas!$B:$B, B294) &gt; 0, "✅ Tenho", "❌ Faltando")</f>
        <v>❌ Faltando</v>
      </c>
      <c r="D294" s="1" t="str">
        <f>_xlfn.XLOOKUP(B294, Substitutas!$B:$B, Substitutas!$A:$A, "-")</f>
        <v>-</v>
      </c>
    </row>
    <row r="295" spans="1:4" x14ac:dyDescent="0.25">
      <c r="A295" t="s">
        <v>953</v>
      </c>
      <c r="B295" t="s">
        <v>963</v>
      </c>
      <c r="C295" s="1" t="str">
        <f>IF(COUNTIF(Substitutas!$B:$B, B295) &gt; 0, "✅ Tenho", "❌ Faltando")</f>
        <v>❌ Faltando</v>
      </c>
      <c r="D295" s="1" t="str">
        <f>_xlfn.XLOOKUP(B295, Substitutas!$B:$B, Substitutas!$A:$A, "-")</f>
        <v>-</v>
      </c>
    </row>
    <row r="296" spans="1:4" x14ac:dyDescent="0.25">
      <c r="A296" t="s">
        <v>2616</v>
      </c>
      <c r="B296" t="s">
        <v>2655</v>
      </c>
      <c r="C296" s="1" t="str">
        <f>IF(COUNTIF(Substitutas!$B:$B, B296) &gt; 0, "✅ Tenho", "❌ Faltando")</f>
        <v>❌ Faltando</v>
      </c>
      <c r="D296" s="1" t="str">
        <f>_xlfn.XLOOKUP(B296, Substitutas!$B:$B, Substitutas!$A:$A, "-")</f>
        <v>-</v>
      </c>
    </row>
    <row r="297" spans="1:4" x14ac:dyDescent="0.25">
      <c r="A297" t="s">
        <v>2616</v>
      </c>
      <c r="B297" t="s">
        <v>2663</v>
      </c>
      <c r="C297" s="1" t="str">
        <f>IF(COUNTIF(Substitutas!$B:$B, B297) &gt; 0, "✅ Tenho", "❌ Faltando")</f>
        <v>❌ Faltando</v>
      </c>
      <c r="D297" s="1" t="str">
        <f>_xlfn.XLOOKUP(B297, Substitutas!$B:$B, Substitutas!$A:$A, "-")</f>
        <v>-</v>
      </c>
    </row>
    <row r="298" spans="1:4" x14ac:dyDescent="0.25">
      <c r="A298" t="s">
        <v>915</v>
      </c>
      <c r="B298" t="s">
        <v>6</v>
      </c>
      <c r="C298" s="1" t="str">
        <f>IF(COUNTIF(Substitutas!$B:$B, B298) &gt; 0, "✅ Tenho", "❌ Faltando")</f>
        <v>❌ Faltando</v>
      </c>
      <c r="D298" s="1" t="str">
        <f>_xlfn.XLOOKUP(B298, Substitutas!$B:$B, Substitutas!$A:$A, "-")</f>
        <v>-</v>
      </c>
    </row>
    <row r="299" spans="1:4" x14ac:dyDescent="0.25">
      <c r="A299" t="s">
        <v>2616</v>
      </c>
      <c r="B299" t="s">
        <v>2630</v>
      </c>
      <c r="C299" s="1" t="str">
        <f>IF(COUNTIF(Substitutas!$B:$B, B299) &gt; 0, "✅ Tenho", "❌ Faltando")</f>
        <v>❌ Faltando</v>
      </c>
      <c r="D299" s="1" t="str">
        <f>_xlfn.XLOOKUP(B299, Substitutas!$B:$B, Substitutas!$A:$A, "-")</f>
        <v>-</v>
      </c>
    </row>
    <row r="300" spans="1:4" x14ac:dyDescent="0.25">
      <c r="A300" t="s">
        <v>609</v>
      </c>
      <c r="B300" t="s">
        <v>66</v>
      </c>
      <c r="C300" s="1" t="str">
        <f>IF(COUNTIF(Substitutas!$B:$B, B300) &gt; 0, "✅ Tenho", "❌ Faltando")</f>
        <v>❌ Faltando</v>
      </c>
      <c r="D300" s="1" t="str">
        <f>_xlfn.XLOOKUP(B300, Substitutas!$B:$B, Substitutas!$A:$A, "-")</f>
        <v>-</v>
      </c>
    </row>
    <row r="301" spans="1:4" x14ac:dyDescent="0.25">
      <c r="A301" t="s">
        <v>633</v>
      </c>
      <c r="B301" t="s">
        <v>649</v>
      </c>
      <c r="C301" s="1" t="str">
        <f>IF(COUNTIF(Substitutas!$B:$B, B301) &gt; 0, "✅ Tenho", "❌ Faltando")</f>
        <v>❌ Faltando</v>
      </c>
      <c r="D301" s="1" t="str">
        <f>_xlfn.XLOOKUP(B301, Substitutas!$B:$B, Substitutas!$A:$A, "-")</f>
        <v>-</v>
      </c>
    </row>
    <row r="302" spans="1:4" x14ac:dyDescent="0.25">
      <c r="A302" t="s">
        <v>616</v>
      </c>
      <c r="B302" t="s">
        <v>139</v>
      </c>
      <c r="C302" s="1" t="str">
        <f>IF(COUNTIF(Substitutas!$B:$B, B302) &gt; 0, "✅ Tenho", "❌ Faltando")</f>
        <v>❌ Faltando</v>
      </c>
      <c r="D302" s="1" t="str">
        <f>_xlfn.XLOOKUP(B302, Substitutas!$B:$B, Substitutas!$A:$A, "-")</f>
        <v>-</v>
      </c>
    </row>
    <row r="303" spans="1:4" x14ac:dyDescent="0.25">
      <c r="A303" t="s">
        <v>614</v>
      </c>
      <c r="B303" t="s">
        <v>3</v>
      </c>
      <c r="C303" s="1" t="str">
        <f>IF(COUNTIF(Substitutas!$B:$B, B303) &gt; 0, "✅ Tenho", "❌ Faltando")</f>
        <v>❌ Faltando</v>
      </c>
      <c r="D303" s="1" t="str">
        <f>_xlfn.XLOOKUP(B303, Substitutas!$B:$B, Substitutas!$A:$A, "-")</f>
        <v>-</v>
      </c>
    </row>
    <row r="304" spans="1:4" x14ac:dyDescent="0.25">
      <c r="A304" t="s">
        <v>1045</v>
      </c>
      <c r="B304" t="s">
        <v>3</v>
      </c>
      <c r="C304" s="1" t="str">
        <f>IF(COUNTIF(Substitutas!$B:$B, B304) &gt; 0, "✅ Tenho", "❌ Faltando")</f>
        <v>❌ Faltando</v>
      </c>
      <c r="D304" s="1" t="str">
        <f>_xlfn.XLOOKUP(B304, Substitutas!$B:$B, Substitutas!$A:$A, "-")</f>
        <v>-</v>
      </c>
    </row>
    <row r="305" spans="1:4" x14ac:dyDescent="0.25">
      <c r="A305" t="s">
        <v>915</v>
      </c>
      <c r="B305" t="s">
        <v>3</v>
      </c>
      <c r="C305" s="1" t="str">
        <f>IF(COUNTIF(Substitutas!$B:$B, B305) &gt; 0, "✅ Tenho", "❌ Faltando")</f>
        <v>❌ Faltando</v>
      </c>
      <c r="D305" s="1" t="str">
        <f>_xlfn.XLOOKUP(B305, Substitutas!$B:$B, Substitutas!$A:$A, "-")</f>
        <v>-</v>
      </c>
    </row>
    <row r="306" spans="1:4" x14ac:dyDescent="0.25">
      <c r="A306" t="s">
        <v>629</v>
      </c>
      <c r="B306" t="s">
        <v>3</v>
      </c>
      <c r="C306" s="1" t="str">
        <f>IF(COUNTIF(Substitutas!$B:$B, B306) &gt; 0, "✅ Tenho", "❌ Faltando")</f>
        <v>❌ Faltando</v>
      </c>
      <c r="D306" s="1" t="str">
        <f>_xlfn.XLOOKUP(B306, Substitutas!$B:$B, Substitutas!$A:$A, "-")</f>
        <v>-</v>
      </c>
    </row>
    <row r="307" spans="1:4" x14ac:dyDescent="0.25">
      <c r="A307" t="s">
        <v>601</v>
      </c>
      <c r="B307" t="s">
        <v>9</v>
      </c>
      <c r="C307" s="1" t="str">
        <f>IF(COUNTIF(Substitutas!$B:$B, B307) &gt; 0, "✅ Tenho", "❌ Faltando")</f>
        <v>❌ Faltando</v>
      </c>
      <c r="D307" s="1" t="str">
        <f>_xlfn.XLOOKUP(B307, Substitutas!$B:$B, Substitutas!$A:$A, "-")</f>
        <v>-</v>
      </c>
    </row>
    <row r="308" spans="1:4" x14ac:dyDescent="0.25">
      <c r="A308" t="s">
        <v>1045</v>
      </c>
      <c r="B308" t="s">
        <v>1074</v>
      </c>
      <c r="C308" s="1" t="str">
        <f>IF(COUNTIF(Substitutas!$B:$B, B308) &gt; 0, "✅ Tenho", "❌ Faltando")</f>
        <v>❌ Faltando</v>
      </c>
      <c r="D308" s="1" t="str">
        <f>_xlfn.XLOOKUP(B308, Substitutas!$B:$B, Substitutas!$A:$A, "-")</f>
        <v>-</v>
      </c>
    </row>
    <row r="309" spans="1:4" x14ac:dyDescent="0.25">
      <c r="A309" t="s">
        <v>623</v>
      </c>
      <c r="B309" t="s">
        <v>170</v>
      </c>
      <c r="C309" s="1" t="str">
        <f>IF(COUNTIF(Substitutas!$B:$B, B309) &gt; 0, "✅ Tenho", "❌ Faltando")</f>
        <v>❌ Faltando</v>
      </c>
      <c r="D309" s="1" t="str">
        <f>_xlfn.XLOOKUP(B309, Substitutas!$B:$B, Substitutas!$A:$A, "-")</f>
        <v>-</v>
      </c>
    </row>
    <row r="310" spans="1:4" x14ac:dyDescent="0.25">
      <c r="A310" t="s">
        <v>2808</v>
      </c>
      <c r="B310" t="s">
        <v>170</v>
      </c>
      <c r="C310" s="1" t="str">
        <f>IF(COUNTIF(Substitutas!$B:$B, B310) &gt; 0, "✅ Tenho", "❌ Faltando")</f>
        <v>❌ Faltando</v>
      </c>
      <c r="D310" s="1" t="str">
        <f>_xlfn.XLOOKUP(B310, Substitutas!$B:$B, Substitutas!$A:$A, "-")</f>
        <v>-</v>
      </c>
    </row>
    <row r="311" spans="1:4" x14ac:dyDescent="0.25">
      <c r="A311" t="s">
        <v>612</v>
      </c>
      <c r="B311" t="s">
        <v>89</v>
      </c>
      <c r="C311" s="1" t="str">
        <f>IF(COUNTIF(Substitutas!$B:$B, B311) &gt; 0, "✅ Tenho", "❌ Faltando")</f>
        <v>❌ Faltando</v>
      </c>
      <c r="D311" s="1" t="str">
        <f>_xlfn.XLOOKUP(B311, Substitutas!$B:$B, Substitutas!$A:$A, "-")</f>
        <v>-</v>
      </c>
    </row>
    <row r="312" spans="1:4" x14ac:dyDescent="0.25">
      <c r="A312" t="s">
        <v>612</v>
      </c>
      <c r="B312" t="s">
        <v>86</v>
      </c>
      <c r="C312" s="1" t="str">
        <f>IF(COUNTIF(Substitutas!$B:$B, B312) &gt; 0, "✅ Tenho", "❌ Faltando")</f>
        <v>❌ Faltando</v>
      </c>
      <c r="D312" s="1" t="str">
        <f>_xlfn.XLOOKUP(B312, Substitutas!$B:$B, Substitutas!$A:$A, "-")</f>
        <v>-</v>
      </c>
    </row>
    <row r="313" spans="1:4" x14ac:dyDescent="0.25">
      <c r="A313" t="s">
        <v>630</v>
      </c>
      <c r="B313" t="s">
        <v>86</v>
      </c>
      <c r="C313" s="1" t="str">
        <f>IF(COUNTIF(Substitutas!$B:$B, B313) &gt; 0, "✅ Tenho", "❌ Faltando")</f>
        <v>❌ Faltando</v>
      </c>
      <c r="D313" s="1" t="str">
        <f>_xlfn.XLOOKUP(B313, Substitutas!$B:$B, Substitutas!$A:$A, "-")</f>
        <v>-</v>
      </c>
    </row>
    <row r="314" spans="1:4" x14ac:dyDescent="0.25">
      <c r="A314" t="s">
        <v>1045</v>
      </c>
      <c r="B314" t="s">
        <v>764</v>
      </c>
      <c r="C314" s="1" t="str">
        <f>IF(COUNTIF(Substitutas!$B:$B, B314) &gt; 0, "✅ Tenho", "❌ Faltando")</f>
        <v>✅ Tenho</v>
      </c>
      <c r="D314" s="1" t="str">
        <f>_xlfn.XLOOKUP(B314, Substitutas!$B:$B, Substitutas!$A:$A, "-")</f>
        <v>Littles.xlsx</v>
      </c>
    </row>
    <row r="315" spans="1:4" x14ac:dyDescent="0.25">
      <c r="A315" t="s">
        <v>2616</v>
      </c>
      <c r="B315" t="s">
        <v>1354</v>
      </c>
      <c r="C315" s="1" t="str">
        <f>IF(COUNTIF(Substitutas!$B:$B, B315) &gt; 0, "✅ Tenho", "❌ Faltando")</f>
        <v>❌ Faltando</v>
      </c>
      <c r="D315" s="1" t="str">
        <f>_xlfn.XLOOKUP(B315, Substitutas!$B:$B, Substitutas!$A:$A, "-")</f>
        <v>-</v>
      </c>
    </row>
    <row r="316" spans="1:4" x14ac:dyDescent="0.25">
      <c r="A316" t="s">
        <v>2616</v>
      </c>
      <c r="B316" t="s">
        <v>2628</v>
      </c>
      <c r="C316" s="1" t="str">
        <f>IF(COUNTIF(Substitutas!$B:$B, B316) &gt; 0, "✅ Tenho", "❌ Faltando")</f>
        <v>❌ Faltando</v>
      </c>
      <c r="D316" s="1" t="str">
        <f>_xlfn.XLOOKUP(B316, Substitutas!$B:$B, Substitutas!$A:$A, "-")</f>
        <v>-</v>
      </c>
    </row>
    <row r="317" spans="1:4" x14ac:dyDescent="0.25">
      <c r="A317" t="s">
        <v>953</v>
      </c>
      <c r="B317" t="s">
        <v>999</v>
      </c>
      <c r="C317" s="1" t="str">
        <f>IF(COUNTIF(Substitutas!$B:$B, B317) &gt; 0, "✅ Tenho", "❌ Faltando")</f>
        <v>❌ Faltando</v>
      </c>
      <c r="D317" s="1" t="str">
        <f>_xlfn.XLOOKUP(B317, Substitutas!$B:$B, Substitutas!$A:$A, "-")</f>
        <v>-</v>
      </c>
    </row>
    <row r="318" spans="1:4" x14ac:dyDescent="0.25">
      <c r="A318" t="s">
        <v>630</v>
      </c>
      <c r="B318" t="s">
        <v>193</v>
      </c>
      <c r="C318" s="1" t="str">
        <f>IF(COUNTIF(Substitutas!$B:$B, B318) &gt; 0, "✅ Tenho", "❌ Faltando")</f>
        <v>❌ Faltando</v>
      </c>
      <c r="D318" s="1" t="str">
        <f>_xlfn.XLOOKUP(B318, Substitutas!$B:$B, Substitutas!$A:$A, "-")</f>
        <v>-</v>
      </c>
    </row>
    <row r="319" spans="1:4" x14ac:dyDescent="0.25">
      <c r="A319" t="s">
        <v>953</v>
      </c>
      <c r="B319" t="s">
        <v>987</v>
      </c>
      <c r="C319" s="1" t="str">
        <f>IF(COUNTIF(Substitutas!$B:$B, B319) &gt; 0, "✅ Tenho", "❌ Faltando")</f>
        <v>❌ Faltando</v>
      </c>
      <c r="D319" s="1" t="str">
        <f>_xlfn.XLOOKUP(B319, Substitutas!$B:$B, Substitutas!$A:$A, "-")</f>
        <v>-</v>
      </c>
    </row>
    <row r="320" spans="1:4" x14ac:dyDescent="0.25">
      <c r="A320" t="s">
        <v>2616</v>
      </c>
      <c r="B320" t="s">
        <v>2634</v>
      </c>
      <c r="C320" s="1" t="str">
        <f>IF(COUNTIF(Substitutas!$B:$B, B320) &gt; 0, "✅ Tenho", "❌ Faltando")</f>
        <v>❌ Faltando</v>
      </c>
      <c r="D320" s="1" t="str">
        <f>_xlfn.XLOOKUP(B320, Substitutas!$B:$B, Substitutas!$A:$A, "-")</f>
        <v>-</v>
      </c>
    </row>
    <row r="321" spans="1:4" x14ac:dyDescent="0.25">
      <c r="A321" t="s">
        <v>1045</v>
      </c>
      <c r="B321" t="s">
        <v>1065</v>
      </c>
      <c r="C321" s="1" t="str">
        <f>IF(COUNTIF(Substitutas!$B:$B, B321) &gt; 0, "✅ Tenho", "❌ Faltando")</f>
        <v>❌ Faltando</v>
      </c>
      <c r="D321" s="1" t="str">
        <f>_xlfn.XLOOKUP(B321, Substitutas!$B:$B, Substitutas!$A:$A, "-")</f>
        <v>-</v>
      </c>
    </row>
    <row r="322" spans="1:4" x14ac:dyDescent="0.25">
      <c r="A322" t="s">
        <v>605</v>
      </c>
      <c r="B322" t="s">
        <v>50</v>
      </c>
      <c r="C322" s="1" t="str">
        <f>IF(COUNTIF(Substitutas!$B:$B, B322) &gt; 0, "✅ Tenho", "❌ Faltando")</f>
        <v>❌ Faltando</v>
      </c>
      <c r="D322" s="1" t="str">
        <f>_xlfn.XLOOKUP(B322, Substitutas!$B:$B, Substitutas!$A:$A, "-")</f>
        <v>-</v>
      </c>
    </row>
    <row r="323" spans="1:4" x14ac:dyDescent="0.25">
      <c r="A323" t="s">
        <v>953</v>
      </c>
      <c r="B323" t="s">
        <v>955</v>
      </c>
      <c r="C323" s="1" t="str">
        <f>IF(COUNTIF(Substitutas!$B:$B, B323) &gt; 0, "✅ Tenho", "❌ Faltando")</f>
        <v>❌ Faltando</v>
      </c>
      <c r="D323" s="1" t="str">
        <f>_xlfn.XLOOKUP(B323, Substitutas!$B:$B, Substitutas!$A:$A, "-")</f>
        <v>-</v>
      </c>
    </row>
    <row r="324" spans="1:4" x14ac:dyDescent="0.25">
      <c r="A324" t="s">
        <v>614</v>
      </c>
      <c r="B324" t="s">
        <v>1044</v>
      </c>
      <c r="C324" s="1" t="str">
        <f>IF(COUNTIF(Substitutas!$B:$B, B324) &gt; 0, "✅ Tenho", "❌ Faltando")</f>
        <v>❌ Faltando</v>
      </c>
      <c r="D324" s="1" t="str">
        <f>_xlfn.XLOOKUP(B324, Substitutas!$B:$B, Substitutas!$A:$A, "-")</f>
        <v>-</v>
      </c>
    </row>
    <row r="325" spans="1:4" x14ac:dyDescent="0.25">
      <c r="A325" t="s">
        <v>608</v>
      </c>
      <c r="B325" t="s">
        <v>2746</v>
      </c>
      <c r="C325" s="1" t="str">
        <f>IF(COUNTIF(Substitutas!$B:$B, B325) &gt; 0, "✅ Tenho", "❌ Faltando")</f>
        <v>❌ Faltando</v>
      </c>
      <c r="D325" s="1" t="str">
        <f>_xlfn.XLOOKUP(B325, Substitutas!$B:$B, Substitutas!$A:$A, "-")</f>
        <v>-</v>
      </c>
    </row>
    <row r="326" spans="1:4" x14ac:dyDescent="0.25">
      <c r="A326" t="s">
        <v>1012</v>
      </c>
      <c r="B326" t="s">
        <v>1017</v>
      </c>
      <c r="C326" s="1" t="str">
        <f>IF(COUNTIF(Substitutas!$B:$B, B326) &gt; 0, "✅ Tenho", "❌ Faltando")</f>
        <v>❌ Faltando</v>
      </c>
      <c r="D326" s="1" t="str">
        <f>_xlfn.XLOOKUP(B326, Substitutas!$B:$B, Substitutas!$A:$A, "-")</f>
        <v>-</v>
      </c>
    </row>
    <row r="327" spans="1:4" x14ac:dyDescent="0.25">
      <c r="A327" t="s">
        <v>630</v>
      </c>
      <c r="B327" t="s">
        <v>192</v>
      </c>
      <c r="C327" s="1" t="str">
        <f>IF(COUNTIF(Substitutas!$B:$B, B327) &gt; 0, "✅ Tenho", "❌ Faltando")</f>
        <v>❌ Faltando</v>
      </c>
      <c r="D327" s="1" t="str">
        <f>_xlfn.XLOOKUP(B327, Substitutas!$B:$B, Substitutas!$A:$A, "-")</f>
        <v>-</v>
      </c>
    </row>
    <row r="328" spans="1:4" x14ac:dyDescent="0.25">
      <c r="A328" t="s">
        <v>617</v>
      </c>
      <c r="B328" t="s">
        <v>2761</v>
      </c>
      <c r="C328" s="1" t="str">
        <f>IF(COUNTIF(Substitutas!$B:$B, B328) &gt; 0, "✅ Tenho", "❌ Faltando")</f>
        <v>❌ Faltando</v>
      </c>
      <c r="D328" s="1" t="str">
        <f>_xlfn.XLOOKUP(B328, Substitutas!$B:$B, Substitutas!$A:$A, "-")</f>
        <v>-</v>
      </c>
    </row>
    <row r="329" spans="1:4" x14ac:dyDescent="0.25">
      <c r="A329" t="s">
        <v>610</v>
      </c>
      <c r="B329" t="s">
        <v>796</v>
      </c>
      <c r="C329" s="1" t="str">
        <f>IF(COUNTIF(Substitutas!$B:$B, B329) &gt; 0, "✅ Tenho", "❌ Faltando")</f>
        <v>❌ Faltando</v>
      </c>
      <c r="D329" s="1" t="str">
        <f>_xlfn.XLOOKUP(B329, Substitutas!$B:$B, Substitutas!$A:$A, "-")</f>
        <v>-</v>
      </c>
    </row>
    <row r="330" spans="1:4" x14ac:dyDescent="0.25">
      <c r="A330" t="s">
        <v>953</v>
      </c>
      <c r="B330" t="s">
        <v>976</v>
      </c>
      <c r="C330" s="1" t="str">
        <f>IF(COUNTIF(Substitutas!$B:$B, B330) &gt; 0, "✅ Tenho", "❌ Faltando")</f>
        <v>❌ Faltando</v>
      </c>
      <c r="D330" s="1" t="str">
        <f>_xlfn.XLOOKUP(B330, Substitutas!$B:$B, Substitutas!$A:$A, "-")</f>
        <v>-</v>
      </c>
    </row>
    <row r="331" spans="1:4" x14ac:dyDescent="0.25">
      <c r="A331" t="s">
        <v>953</v>
      </c>
      <c r="B331" t="s">
        <v>960</v>
      </c>
      <c r="C331" s="1" t="str">
        <f>IF(COUNTIF(Substitutas!$B:$B, B331) &gt; 0, "✅ Tenho", "❌ Faltando")</f>
        <v>❌ Faltando</v>
      </c>
      <c r="D331" s="1" t="str">
        <f>_xlfn.XLOOKUP(B331, Substitutas!$B:$B, Substitutas!$A:$A, "-")</f>
        <v>-</v>
      </c>
    </row>
    <row r="332" spans="1:4" x14ac:dyDescent="0.25">
      <c r="A332" t="s">
        <v>622</v>
      </c>
      <c r="B332" t="s">
        <v>158</v>
      </c>
      <c r="C332" s="1" t="str">
        <f>IF(COUNTIF(Substitutas!$B:$B, B332) &gt; 0, "✅ Tenho", "❌ Faltando")</f>
        <v>❌ Faltando</v>
      </c>
      <c r="D332" s="1" t="str">
        <f>_xlfn.XLOOKUP(B332, Substitutas!$B:$B, Substitutas!$A:$A, "-")</f>
        <v>-</v>
      </c>
    </row>
    <row r="333" spans="1:4" x14ac:dyDescent="0.25">
      <c r="A333" t="s">
        <v>915</v>
      </c>
      <c r="B333" t="s">
        <v>929</v>
      </c>
      <c r="C333" s="1" t="str">
        <f>IF(COUNTIF(Substitutas!$B:$B, B333) &gt; 0, "✅ Tenho", "❌ Faltando")</f>
        <v>❌ Faltando</v>
      </c>
      <c r="D333" s="1" t="str">
        <f>_xlfn.XLOOKUP(B333, Substitutas!$B:$B, Substitutas!$A:$A, "-")</f>
        <v>-</v>
      </c>
    </row>
    <row r="334" spans="1:4" x14ac:dyDescent="0.25">
      <c r="A334" t="s">
        <v>616</v>
      </c>
      <c r="B334" t="s">
        <v>143</v>
      </c>
      <c r="C334" s="1" t="str">
        <f>IF(COUNTIF(Substitutas!$B:$B, B334) &gt; 0, "✅ Tenho", "❌ Faltando")</f>
        <v>❌ Faltando</v>
      </c>
      <c r="D334" s="1" t="str">
        <f>_xlfn.XLOOKUP(B334, Substitutas!$B:$B, Substitutas!$A:$A, "-")</f>
        <v>-</v>
      </c>
    </row>
    <row r="335" spans="1:4" x14ac:dyDescent="0.25">
      <c r="A335" t="s">
        <v>609</v>
      </c>
      <c r="B335" t="s">
        <v>74</v>
      </c>
      <c r="C335" s="1" t="str">
        <f>IF(COUNTIF(Substitutas!$B:$B, B335) &gt; 0, "✅ Tenho", "❌ Faltando")</f>
        <v>❌ Faltando</v>
      </c>
      <c r="D335" s="1" t="str">
        <f>_xlfn.XLOOKUP(B335, Substitutas!$B:$B, Substitutas!$A:$A, "-")</f>
        <v>-</v>
      </c>
    </row>
    <row r="336" spans="1:4" x14ac:dyDescent="0.25">
      <c r="A336" t="s">
        <v>953</v>
      </c>
      <c r="B336" t="s">
        <v>1540</v>
      </c>
      <c r="C336" s="1" t="str">
        <f>IF(COUNTIF(Substitutas!$B:$B, B336) &gt; 0, "✅ Tenho", "❌ Faltando")</f>
        <v>❌ Faltando</v>
      </c>
      <c r="D336" s="1" t="str">
        <f>_xlfn.XLOOKUP(B336, Substitutas!$B:$B, Substitutas!$A:$A, "-")</f>
        <v>-</v>
      </c>
    </row>
    <row r="337" spans="1:4" x14ac:dyDescent="0.25">
      <c r="A337" t="s">
        <v>915</v>
      </c>
      <c r="B337" t="s">
        <v>930</v>
      </c>
      <c r="C337" s="1" t="str">
        <f>IF(COUNTIF(Substitutas!$B:$B, B337) &gt; 0, "✅ Tenho", "❌ Faltando")</f>
        <v>❌ Faltando</v>
      </c>
      <c r="D337" s="1" t="str">
        <f>_xlfn.XLOOKUP(B337, Substitutas!$B:$B, Substitutas!$A:$A, "-")</f>
        <v>-</v>
      </c>
    </row>
    <row r="338" spans="1:4" x14ac:dyDescent="0.25">
      <c r="A338" t="s">
        <v>616</v>
      </c>
      <c r="B338" t="s">
        <v>133</v>
      </c>
      <c r="C338" s="1" t="str">
        <f>IF(COUNTIF(Substitutas!$B:$B, B338) &gt; 0, "✅ Tenho", "❌ Faltando")</f>
        <v>❌ Faltando</v>
      </c>
      <c r="D338" s="1" t="str">
        <f>_xlfn.XLOOKUP(B338, Substitutas!$B:$B, Substitutas!$A:$A, "-")</f>
        <v>-</v>
      </c>
    </row>
    <row r="339" spans="1:4" x14ac:dyDescent="0.25">
      <c r="A339" t="s">
        <v>622</v>
      </c>
      <c r="B339" t="s">
        <v>133</v>
      </c>
      <c r="C339" s="1" t="str">
        <f>IF(COUNTIF(Substitutas!$B:$B, B339) &gt; 0, "✅ Tenho", "❌ Faltando")</f>
        <v>❌ Faltando</v>
      </c>
      <c r="D339" s="1" t="str">
        <f>_xlfn.XLOOKUP(B339, Substitutas!$B:$B, Substitutas!$A:$A, "-")</f>
        <v>-</v>
      </c>
    </row>
    <row r="340" spans="1:4" x14ac:dyDescent="0.25">
      <c r="A340" t="s">
        <v>617</v>
      </c>
      <c r="B340" t="s">
        <v>128</v>
      </c>
      <c r="C340" s="1" t="str">
        <f>IF(COUNTIF(Substitutas!$B:$B, B340) &gt; 0, "✅ Tenho", "❌ Faltando")</f>
        <v>❌ Faltando</v>
      </c>
      <c r="D340" s="1" t="str">
        <f>_xlfn.XLOOKUP(B340, Substitutas!$B:$B, Substitutas!$A:$A, "-")</f>
        <v>-</v>
      </c>
    </row>
    <row r="341" spans="1:4" x14ac:dyDescent="0.25">
      <c r="A341" t="s">
        <v>2616</v>
      </c>
      <c r="B341" t="s">
        <v>1432</v>
      </c>
      <c r="C341" s="1" t="str">
        <f>IF(COUNTIF(Substitutas!$B:$B, B341) &gt; 0, "✅ Tenho", "❌ Faltando")</f>
        <v>❌ Faltando</v>
      </c>
      <c r="D341" s="1" t="str">
        <f>_xlfn.XLOOKUP(B341, Substitutas!$B:$B, Substitutas!$A:$A, "-")</f>
        <v>-</v>
      </c>
    </row>
    <row r="342" spans="1:4" x14ac:dyDescent="0.25">
      <c r="A342" t="s">
        <v>2616</v>
      </c>
      <c r="B342" t="s">
        <v>1433</v>
      </c>
      <c r="C342" s="1" t="str">
        <f>IF(COUNTIF(Substitutas!$B:$B, B342) &gt; 0, "✅ Tenho", "❌ Faltando")</f>
        <v>❌ Faltando</v>
      </c>
      <c r="D342" s="1" t="str">
        <f>_xlfn.XLOOKUP(B342, Substitutas!$B:$B, Substitutas!$A:$A, "-")</f>
        <v>-</v>
      </c>
    </row>
    <row r="343" spans="1:4" x14ac:dyDescent="0.25">
      <c r="A343" t="s">
        <v>953</v>
      </c>
      <c r="B343" t="s">
        <v>981</v>
      </c>
      <c r="C343" s="1" t="str">
        <f>IF(COUNTIF(Substitutas!$B:$B, B343) &gt; 0, "✅ Tenho", "❌ Faltando")</f>
        <v>❌ Faltando</v>
      </c>
      <c r="D343" s="1" t="str">
        <f>_xlfn.XLOOKUP(B343, Substitutas!$B:$B, Substitutas!$A:$A, "-")</f>
        <v>-</v>
      </c>
    </row>
    <row r="344" spans="1:4" x14ac:dyDescent="0.25">
      <c r="A344" t="s">
        <v>628</v>
      </c>
      <c r="B344" t="s">
        <v>178</v>
      </c>
      <c r="C344" s="1" t="str">
        <f>IF(COUNTIF(Substitutas!$B:$B, B344) &gt; 0, "✅ Tenho", "❌ Faltando")</f>
        <v>❌ Faltando</v>
      </c>
      <c r="D344" s="1" t="str">
        <f>_xlfn.XLOOKUP(B344, Substitutas!$B:$B, Substitutas!$A:$A, "-")</f>
        <v>-</v>
      </c>
    </row>
    <row r="345" spans="1:4" x14ac:dyDescent="0.25">
      <c r="A345" t="s">
        <v>622</v>
      </c>
      <c r="B345" t="s">
        <v>2772</v>
      </c>
      <c r="C345" s="1" t="str">
        <f>IF(COUNTIF(Substitutas!$B:$B, B345) &gt; 0, "✅ Tenho", "❌ Faltando")</f>
        <v>❌ Faltando</v>
      </c>
      <c r="D345" s="1" t="str">
        <f>_xlfn.XLOOKUP(B345, Substitutas!$B:$B, Substitutas!$A:$A, "-")</f>
        <v>-</v>
      </c>
    </row>
    <row r="346" spans="1:4" x14ac:dyDescent="0.25">
      <c r="A346" t="s">
        <v>605</v>
      </c>
      <c r="B346" t="s">
        <v>45</v>
      </c>
      <c r="C346" s="1" t="str">
        <f>IF(COUNTIF(Substitutas!$B:$B, B346) &gt; 0, "✅ Tenho", "❌ Faltando")</f>
        <v>❌ Faltando</v>
      </c>
      <c r="D346" s="1" t="str">
        <f>_xlfn.XLOOKUP(B346, Substitutas!$B:$B, Substitutas!$A:$A, "-")</f>
        <v>-</v>
      </c>
    </row>
    <row r="347" spans="1:4" x14ac:dyDescent="0.25">
      <c r="A347" t="s">
        <v>915</v>
      </c>
      <c r="B347" t="s">
        <v>45</v>
      </c>
      <c r="C347" s="1" t="str">
        <f>IF(COUNTIF(Substitutas!$B:$B, B347) &gt; 0, "✅ Tenho", "❌ Faltando")</f>
        <v>❌ Faltando</v>
      </c>
      <c r="D347" s="1" t="str">
        <f>_xlfn.XLOOKUP(B347, Substitutas!$B:$B, Substitutas!$A:$A, "-")</f>
        <v>-</v>
      </c>
    </row>
    <row r="348" spans="1:4" x14ac:dyDescent="0.25">
      <c r="A348" t="s">
        <v>603</v>
      </c>
      <c r="B348" t="s">
        <v>2624</v>
      </c>
      <c r="C348" s="1" t="str">
        <f>IF(COUNTIF(Substitutas!$B:$B, B348) &gt; 0, "✅ Tenho", "❌ Faltando")</f>
        <v>❌ Faltando</v>
      </c>
      <c r="D348" s="1" t="str">
        <f>_xlfn.XLOOKUP(B348, Substitutas!$B:$B, Substitutas!$A:$A, "-")</f>
        <v>-</v>
      </c>
    </row>
    <row r="349" spans="1:4" x14ac:dyDescent="0.25">
      <c r="A349" t="s">
        <v>1045</v>
      </c>
      <c r="B349" t="s">
        <v>457</v>
      </c>
      <c r="C349" s="1" t="str">
        <f>IF(COUNTIF(Substitutas!$B:$B, B349) &gt; 0, "✅ Tenho", "❌ Faltando")</f>
        <v>❌ Faltando</v>
      </c>
      <c r="D349" s="1" t="str">
        <f>_xlfn.XLOOKUP(B349, Substitutas!$B:$B, Substitutas!$A:$A, "-")</f>
        <v>-</v>
      </c>
    </row>
    <row r="350" spans="1:4" x14ac:dyDescent="0.25">
      <c r="A350" t="s">
        <v>609</v>
      </c>
      <c r="B350" t="s">
        <v>69</v>
      </c>
      <c r="C350" s="1" t="str">
        <f>IF(COUNTIF(Substitutas!$B:$B, B350) &gt; 0, "✅ Tenho", "❌ Faltando")</f>
        <v>❌ Faltando</v>
      </c>
      <c r="D350" s="1" t="str">
        <f>_xlfn.XLOOKUP(B350, Substitutas!$B:$B, Substitutas!$A:$A, "-")</f>
        <v>-</v>
      </c>
    </row>
    <row r="351" spans="1:4" x14ac:dyDescent="0.25">
      <c r="A351" t="s">
        <v>602</v>
      </c>
      <c r="B351" t="s">
        <v>25</v>
      </c>
      <c r="C351" s="1" t="str">
        <f>IF(COUNTIF(Substitutas!$B:$B, B351) &gt; 0, "✅ Tenho", "❌ Faltando")</f>
        <v>❌ Faltando</v>
      </c>
      <c r="D351" s="1" t="str">
        <f>_xlfn.XLOOKUP(B351, Substitutas!$B:$B, Substitutas!$A:$A, "-")</f>
        <v>-</v>
      </c>
    </row>
    <row r="352" spans="1:4" x14ac:dyDescent="0.25">
      <c r="A352" t="s">
        <v>622</v>
      </c>
      <c r="B352" t="s">
        <v>160</v>
      </c>
      <c r="C352" s="1" t="str">
        <f>IF(COUNTIF(Substitutas!$B:$B, B352) &gt; 0, "✅ Tenho", "❌ Faltando")</f>
        <v>❌ Faltando</v>
      </c>
      <c r="D352" s="1" t="str">
        <f>_xlfn.XLOOKUP(B352, Substitutas!$B:$B, Substitutas!$A:$A, "-")</f>
        <v>-</v>
      </c>
    </row>
    <row r="353" spans="1:4" x14ac:dyDescent="0.25">
      <c r="A353" t="s">
        <v>613</v>
      </c>
      <c r="B353" t="s">
        <v>93</v>
      </c>
      <c r="C353" s="1" t="str">
        <f>IF(COUNTIF(Substitutas!$B:$B, B353) &gt; 0, "✅ Tenho", "❌ Faltando")</f>
        <v>❌ Faltando</v>
      </c>
      <c r="D353" s="1" t="str">
        <f>_xlfn.XLOOKUP(B353, Substitutas!$B:$B, Substitutas!$A:$A, "-")</f>
        <v>-</v>
      </c>
    </row>
    <row r="354" spans="1:4" x14ac:dyDescent="0.25">
      <c r="A354" t="s">
        <v>614</v>
      </c>
      <c r="B354" t="s">
        <v>894</v>
      </c>
      <c r="C354" s="1" t="str">
        <f>IF(COUNTIF(Substitutas!$B:$B, B354) &gt; 0, "✅ Tenho", "❌ Faltando")</f>
        <v>❌ Faltando</v>
      </c>
      <c r="D354" s="1" t="str">
        <f>_xlfn.XLOOKUP(B354, Substitutas!$B:$B, Substitutas!$A:$A, "-")</f>
        <v>-</v>
      </c>
    </row>
    <row r="355" spans="1:4" x14ac:dyDescent="0.25">
      <c r="A355" t="s">
        <v>614</v>
      </c>
      <c r="B355" t="s">
        <v>101</v>
      </c>
      <c r="C355" s="1" t="str">
        <f>IF(COUNTIF(Substitutas!$B:$B, B355) &gt; 0, "✅ Tenho", "❌ Faltando")</f>
        <v>❌ Faltando</v>
      </c>
      <c r="D355" s="1" t="str">
        <f>_xlfn.XLOOKUP(B355, Substitutas!$B:$B, Substitutas!$A:$A, "-")</f>
        <v>-</v>
      </c>
    </row>
    <row r="356" spans="1:4" x14ac:dyDescent="0.25">
      <c r="A356" t="s">
        <v>831</v>
      </c>
      <c r="B356" t="s">
        <v>885</v>
      </c>
      <c r="C356" s="1" t="str">
        <f>IF(COUNTIF(Substitutas!$B:$B, B356) &gt; 0, "✅ Tenho", "❌ Faltando")</f>
        <v>❌ Faltando</v>
      </c>
      <c r="D356" s="1" t="str">
        <f>_xlfn.XLOOKUP(B356, Substitutas!$B:$B, Substitutas!$A:$A, "-")</f>
        <v>-</v>
      </c>
    </row>
    <row r="357" spans="1:4" x14ac:dyDescent="0.25">
      <c r="A357" t="s">
        <v>2808</v>
      </c>
      <c r="B357" t="s">
        <v>104</v>
      </c>
      <c r="C357" s="1" t="str">
        <f>IF(COUNTIF(Substitutas!$B:$B, B357) &gt; 0, "✅ Tenho", "❌ Faltando")</f>
        <v>❌ Faltando</v>
      </c>
      <c r="D357" s="1" t="str">
        <f>_xlfn.XLOOKUP(B357, Substitutas!$B:$B, Substitutas!$A:$A, "-")</f>
        <v>-</v>
      </c>
    </row>
    <row r="358" spans="1:4" x14ac:dyDescent="0.25">
      <c r="A358" t="s">
        <v>630</v>
      </c>
      <c r="B358" t="s">
        <v>813</v>
      </c>
      <c r="C358" s="1" t="str">
        <f>IF(COUNTIF(Substitutas!$B:$B, B358) &gt; 0, "✅ Tenho", "❌ Faltando")</f>
        <v>❌ Faltando</v>
      </c>
      <c r="D358" s="1" t="str">
        <f>_xlfn.XLOOKUP(B358, Substitutas!$B:$B, Substitutas!$A:$A, "-")</f>
        <v>-</v>
      </c>
    </row>
    <row r="359" spans="1:4" x14ac:dyDescent="0.25">
      <c r="A359" t="s">
        <v>1045</v>
      </c>
      <c r="B359" t="s">
        <v>149</v>
      </c>
      <c r="C359" s="1" t="str">
        <f>IF(COUNTIF(Substitutas!$B:$B, B359) &gt; 0, "✅ Tenho", "❌ Faltando")</f>
        <v>❌ Faltando</v>
      </c>
      <c r="D359" s="1" t="str">
        <f>_xlfn.XLOOKUP(B359, Substitutas!$B:$B, Substitutas!$A:$A, "-")</f>
        <v>-</v>
      </c>
    </row>
    <row r="360" spans="1:4" x14ac:dyDescent="0.25">
      <c r="A360" t="s">
        <v>2616</v>
      </c>
      <c r="B360" t="s">
        <v>1434</v>
      </c>
      <c r="C360" s="1" t="str">
        <f>IF(COUNTIF(Substitutas!$B:$B, B360) &gt; 0, "✅ Tenho", "❌ Faltando")</f>
        <v>❌ Faltando</v>
      </c>
      <c r="D360" s="1" t="str">
        <f>_xlfn.XLOOKUP(B360, Substitutas!$B:$B, Substitutas!$A:$A, "-")</f>
        <v>-</v>
      </c>
    </row>
    <row r="361" spans="1:4" x14ac:dyDescent="0.25">
      <c r="A361" t="s">
        <v>622</v>
      </c>
      <c r="B361" t="s">
        <v>161</v>
      </c>
      <c r="C361" s="1" t="str">
        <f>IF(COUNTIF(Substitutas!$B:$B, B361) &gt; 0, "✅ Tenho", "❌ Faltando")</f>
        <v>❌ Faltando</v>
      </c>
      <c r="D361" s="1" t="str">
        <f>_xlfn.XLOOKUP(B361, Substitutas!$B:$B, Substitutas!$A:$A, "-")</f>
        <v>-</v>
      </c>
    </row>
    <row r="362" spans="1:4" x14ac:dyDescent="0.25">
      <c r="A362" t="s">
        <v>602</v>
      </c>
      <c r="B362" t="s">
        <v>835</v>
      </c>
      <c r="C362" s="1" t="str">
        <f>IF(COUNTIF(Substitutas!$B:$B, B362) &gt; 0, "✅ Tenho", "❌ Faltando")</f>
        <v>❌ Faltando</v>
      </c>
      <c r="D362" s="1" t="str">
        <f>_xlfn.XLOOKUP(B362, Substitutas!$B:$B, Substitutas!$A:$A, "-")</f>
        <v>-</v>
      </c>
    </row>
    <row r="363" spans="1:4" x14ac:dyDescent="0.25">
      <c r="A363" t="s">
        <v>602</v>
      </c>
      <c r="B363" t="s">
        <v>30</v>
      </c>
      <c r="C363" s="1" t="str">
        <f>IF(COUNTIF(Substitutas!$B:$B, B363) &gt; 0, "✅ Tenho", "❌ Faltando")</f>
        <v>❌ Faltando</v>
      </c>
      <c r="D363" s="1" t="str">
        <f>_xlfn.XLOOKUP(B363, Substitutas!$B:$B, Substitutas!$A:$A, "-")</f>
        <v>-</v>
      </c>
    </row>
    <row r="364" spans="1:4" x14ac:dyDescent="0.25">
      <c r="A364" t="s">
        <v>602</v>
      </c>
      <c r="B364" t="s">
        <v>29</v>
      </c>
      <c r="C364" s="1" t="str">
        <f>IF(COUNTIF(Substitutas!$B:$B, B364) &gt; 0, "✅ Tenho", "❌ Faltando")</f>
        <v>❌ Faltando</v>
      </c>
      <c r="D364" s="1" t="str">
        <f>_xlfn.XLOOKUP(B364, Substitutas!$B:$B, Substitutas!$A:$A, "-")</f>
        <v>-</v>
      </c>
    </row>
    <row r="365" spans="1:4" x14ac:dyDescent="0.25">
      <c r="A365" t="s">
        <v>602</v>
      </c>
      <c r="B365" t="s">
        <v>28</v>
      </c>
      <c r="C365" s="1" t="str">
        <f>IF(COUNTIF(Substitutas!$B:$B, B365) &gt; 0, "✅ Tenho", "❌ Faltando")</f>
        <v>❌ Faltando</v>
      </c>
      <c r="D365" s="1" t="str">
        <f>_xlfn.XLOOKUP(B365, Substitutas!$B:$B, Substitutas!$A:$A, "-")</f>
        <v>-</v>
      </c>
    </row>
    <row r="366" spans="1:4" x14ac:dyDescent="0.25">
      <c r="A366" t="s">
        <v>609</v>
      </c>
      <c r="B366" t="s">
        <v>76</v>
      </c>
      <c r="C366" s="1" t="str">
        <f>IF(COUNTIF(Substitutas!$B:$B, B366) &gt; 0, "✅ Tenho", "❌ Faltando")</f>
        <v>❌ Faltando</v>
      </c>
      <c r="D366" s="1" t="str">
        <f>_xlfn.XLOOKUP(B366, Substitutas!$B:$B, Substitutas!$A:$A, "-")</f>
        <v>-</v>
      </c>
    </row>
    <row r="367" spans="1:4" x14ac:dyDescent="0.25">
      <c r="A367" t="s">
        <v>607</v>
      </c>
      <c r="B367" t="s">
        <v>57</v>
      </c>
      <c r="C367" s="1" t="str">
        <f>IF(COUNTIF(Substitutas!$B:$B, B367) &gt; 0, "✅ Tenho", "❌ Faltando")</f>
        <v>❌ Faltando</v>
      </c>
      <c r="D367" s="1" t="str">
        <f>_xlfn.XLOOKUP(B367, Substitutas!$B:$B, Substitutas!$A:$A, "-")</f>
        <v>-</v>
      </c>
    </row>
    <row r="368" spans="1:4" x14ac:dyDescent="0.25">
      <c r="A368" t="s">
        <v>1012</v>
      </c>
      <c r="B368" t="s">
        <v>57</v>
      </c>
      <c r="C368" s="1" t="str">
        <f>IF(COUNTIF(Substitutas!$B:$B, B368) &gt; 0, "✅ Tenho", "❌ Faltando")</f>
        <v>❌ Faltando</v>
      </c>
      <c r="D368" s="1" t="str">
        <f>_xlfn.XLOOKUP(B368, Substitutas!$B:$B, Substitutas!$A:$A, "-")</f>
        <v>-</v>
      </c>
    </row>
    <row r="369" spans="1:4" x14ac:dyDescent="0.25">
      <c r="A369" t="s">
        <v>1012</v>
      </c>
      <c r="B369" t="s">
        <v>1533</v>
      </c>
      <c r="C369" s="1" t="str">
        <f>IF(COUNTIF(Substitutas!$B:$B, B369) &gt; 0, "✅ Tenho", "❌ Faltando")</f>
        <v>❌ Faltando</v>
      </c>
      <c r="D369" s="1" t="str">
        <f>_xlfn.XLOOKUP(B369, Substitutas!$B:$B, Substitutas!$A:$A, "-")</f>
        <v>-</v>
      </c>
    </row>
    <row r="370" spans="1:4" x14ac:dyDescent="0.25">
      <c r="A370" t="s">
        <v>630</v>
      </c>
      <c r="B370" t="s">
        <v>200</v>
      </c>
      <c r="C370" s="1" t="str">
        <f>IF(COUNTIF(Substitutas!$B:$B, B370) &gt; 0, "✅ Tenho", "❌ Faltando")</f>
        <v>❌ Faltando</v>
      </c>
      <c r="D370" s="1" t="str">
        <f>_xlfn.XLOOKUP(B370, Substitutas!$B:$B, Substitutas!$A:$A, "-")</f>
        <v>-</v>
      </c>
    </row>
    <row r="371" spans="1:4" x14ac:dyDescent="0.25">
      <c r="A371" t="s">
        <v>630</v>
      </c>
      <c r="B371" t="s">
        <v>199</v>
      </c>
      <c r="C371" s="1" t="str">
        <f>IF(COUNTIF(Substitutas!$B:$B, B371) &gt; 0, "✅ Tenho", "❌ Faltando")</f>
        <v>❌ Faltando</v>
      </c>
      <c r="D371" s="1" t="str">
        <f>_xlfn.XLOOKUP(B371, Substitutas!$B:$B, Substitutas!$A:$A, "-")</f>
        <v>-</v>
      </c>
    </row>
    <row r="372" spans="1:4" x14ac:dyDescent="0.25">
      <c r="A372" t="s">
        <v>1012</v>
      </c>
      <c r="B372" t="s">
        <v>1019</v>
      </c>
      <c r="C372" s="1" t="str">
        <f>IF(COUNTIF(Substitutas!$B:$B, B372) &gt; 0, "✅ Tenho", "❌ Faltando")</f>
        <v>❌ Faltando</v>
      </c>
      <c r="D372" s="1" t="str">
        <f>_xlfn.XLOOKUP(B372, Substitutas!$B:$B, Substitutas!$A:$A, "-")</f>
        <v>-</v>
      </c>
    </row>
    <row r="373" spans="1:4" x14ac:dyDescent="0.25">
      <c r="A373" t="s">
        <v>614</v>
      </c>
      <c r="B373" t="s">
        <v>114</v>
      </c>
      <c r="C373" s="1" t="str">
        <f>IF(COUNTIF(Substitutas!$B:$B, B373) &gt; 0, "✅ Tenho", "❌ Faltando")</f>
        <v>❌ Faltando</v>
      </c>
      <c r="D373" s="1" t="str">
        <f>_xlfn.XLOOKUP(B373, Substitutas!$B:$B, Substitutas!$A:$A, "-")</f>
        <v>-</v>
      </c>
    </row>
    <row r="374" spans="1:4" x14ac:dyDescent="0.25">
      <c r="A374" t="s">
        <v>614</v>
      </c>
      <c r="B374" t="s">
        <v>115</v>
      </c>
      <c r="C374" s="1" t="str">
        <f>IF(COUNTIF(Substitutas!$B:$B, B374) &gt; 0, "✅ Tenho", "❌ Faltando")</f>
        <v>❌ Faltando</v>
      </c>
      <c r="D374" s="1" t="str">
        <f>_xlfn.XLOOKUP(B374, Substitutas!$B:$B, Substitutas!$A:$A, "-")</f>
        <v>-</v>
      </c>
    </row>
    <row r="375" spans="1:4" x14ac:dyDescent="0.25">
      <c r="A375" t="s">
        <v>618</v>
      </c>
      <c r="B375" t="s">
        <v>151</v>
      </c>
      <c r="C375" s="1" t="str">
        <f>IF(COUNTIF(Substitutas!$B:$B, B375) &gt; 0, "✅ Tenho", "❌ Faltando")</f>
        <v>❌ Faltando</v>
      </c>
      <c r="D375" s="1" t="str">
        <f>_xlfn.XLOOKUP(B375, Substitutas!$B:$B, Substitutas!$A:$A, "-")</f>
        <v>-</v>
      </c>
    </row>
    <row r="376" spans="1:4" x14ac:dyDescent="0.25">
      <c r="A376" t="s">
        <v>601</v>
      </c>
      <c r="B376" t="s">
        <v>2733</v>
      </c>
      <c r="C376" s="1" t="str">
        <f>IF(COUNTIF(Substitutas!$B:$B, B376) &gt; 0, "✅ Tenho", "❌ Faltando")</f>
        <v>❌ Faltando</v>
      </c>
      <c r="D376" s="1" t="str">
        <f>_xlfn.XLOOKUP(B376, Substitutas!$B:$B, Substitutas!$A:$A, "-")</f>
        <v>-</v>
      </c>
    </row>
    <row r="377" spans="1:4" x14ac:dyDescent="0.25">
      <c r="A377" t="s">
        <v>627</v>
      </c>
      <c r="B377" t="s">
        <v>124</v>
      </c>
      <c r="C377" s="1" t="str">
        <f>IF(COUNTIF(Substitutas!$B:$B, B377) &gt; 0, "✅ Tenho", "❌ Faltando")</f>
        <v>❌ Faltando</v>
      </c>
      <c r="D377" s="1" t="str">
        <f>_xlfn.XLOOKUP(B377, Substitutas!$B:$B, Substitutas!$A:$A, "-")</f>
        <v>-</v>
      </c>
    </row>
    <row r="378" spans="1:4" x14ac:dyDescent="0.25">
      <c r="A378" t="s">
        <v>633</v>
      </c>
      <c r="B378" t="s">
        <v>213</v>
      </c>
      <c r="C378" s="1" t="str">
        <f>IF(COUNTIF(Substitutas!$B:$B, B378) &gt; 0, "✅ Tenho", "❌ Faltando")</f>
        <v>❌ Faltando</v>
      </c>
      <c r="D378" s="1" t="str">
        <f>_xlfn.XLOOKUP(B378, Substitutas!$B:$B, Substitutas!$A:$A, "-")</f>
        <v>-</v>
      </c>
    </row>
    <row r="379" spans="1:4" x14ac:dyDescent="0.25">
      <c r="A379" t="s">
        <v>601</v>
      </c>
      <c r="B379" t="s">
        <v>21</v>
      </c>
      <c r="C379" s="1" t="str">
        <f>IF(COUNTIF(Substitutas!$B:$B, B379) &gt; 0, "✅ Tenho", "❌ Faltando")</f>
        <v>❌ Faltando</v>
      </c>
      <c r="D379" s="1" t="str">
        <f>_xlfn.XLOOKUP(B379, Substitutas!$B:$B, Substitutas!$A:$A, "-")</f>
        <v>-</v>
      </c>
    </row>
    <row r="380" spans="1:4" x14ac:dyDescent="0.25">
      <c r="A380" t="s">
        <v>627</v>
      </c>
      <c r="B380" t="s">
        <v>811</v>
      </c>
      <c r="C380" s="1" t="str">
        <f>IF(COUNTIF(Substitutas!$B:$B, B380) &gt; 0, "✅ Tenho", "❌ Faltando")</f>
        <v>❌ Faltando</v>
      </c>
      <c r="D380" s="1" t="str">
        <f>_xlfn.XLOOKUP(B380, Substitutas!$B:$B, Substitutas!$A:$A, "-")</f>
        <v>-</v>
      </c>
    </row>
    <row r="381" spans="1:4" x14ac:dyDescent="0.25">
      <c r="A381" t="s">
        <v>623</v>
      </c>
      <c r="B381" t="s">
        <v>171</v>
      </c>
      <c r="C381" s="1" t="str">
        <f>IF(COUNTIF(Substitutas!$B:$B, B381) &gt; 0, "✅ Tenho", "❌ Faltando")</f>
        <v>❌ Faltando</v>
      </c>
      <c r="D381" s="1" t="str">
        <f>_xlfn.XLOOKUP(B381, Substitutas!$B:$B, Substitutas!$A:$A, "-")</f>
        <v>-</v>
      </c>
    </row>
    <row r="382" spans="1:4" x14ac:dyDescent="0.25">
      <c r="A382" t="s">
        <v>605</v>
      </c>
      <c r="B382" t="s">
        <v>38</v>
      </c>
      <c r="C382" s="1" t="str">
        <f>IF(COUNTIF(Substitutas!$B:$B, B382) &gt; 0, "✅ Tenho", "❌ Faltando")</f>
        <v>❌ Faltando</v>
      </c>
      <c r="D382" s="1" t="str">
        <f>_xlfn.XLOOKUP(B382, Substitutas!$B:$B, Substitutas!$A:$A, "-")</f>
        <v>-</v>
      </c>
    </row>
    <row r="383" spans="1:4" x14ac:dyDescent="0.25">
      <c r="A383" t="s">
        <v>2808</v>
      </c>
      <c r="B383" t="s">
        <v>2813</v>
      </c>
      <c r="C383" s="1" t="str">
        <f>IF(COUNTIF(Substitutas!$B:$B, B383) &gt; 0, "✅ Tenho", "❌ Faltando")</f>
        <v>❌ Faltando</v>
      </c>
      <c r="D383" s="1" t="str">
        <f>_xlfn.XLOOKUP(B383, Substitutas!$B:$B, Substitutas!$A:$A, "-")</f>
        <v>-</v>
      </c>
    </row>
    <row r="384" spans="1:4" x14ac:dyDescent="0.25">
      <c r="A384" t="s">
        <v>605</v>
      </c>
      <c r="B384" t="s">
        <v>2737</v>
      </c>
      <c r="C384" s="1" t="str">
        <f>IF(COUNTIF(Substitutas!$B:$B, B384) &gt; 0, "✅ Tenho", "❌ Faltando")</f>
        <v>❌ Faltando</v>
      </c>
      <c r="D384" s="1" t="str">
        <f>_xlfn.XLOOKUP(B384, Substitutas!$B:$B, Substitutas!$A:$A, "-")</f>
        <v>-</v>
      </c>
    </row>
    <row r="385" spans="1:4" x14ac:dyDescent="0.25">
      <c r="A385" t="s">
        <v>616</v>
      </c>
      <c r="B385" t="s">
        <v>136</v>
      </c>
      <c r="C385" s="1" t="str">
        <f>IF(COUNTIF(Substitutas!$B:$B, B385) &gt; 0, "✅ Tenho", "❌ Faltando")</f>
        <v>❌ Faltando</v>
      </c>
      <c r="D385" s="1" t="str">
        <f>_xlfn.XLOOKUP(B385, Substitutas!$B:$B, Substitutas!$A:$A, "-")</f>
        <v>-</v>
      </c>
    </row>
    <row r="386" spans="1:4" x14ac:dyDescent="0.25">
      <c r="A386" t="s">
        <v>601</v>
      </c>
      <c r="B386" t="s">
        <v>2732</v>
      </c>
      <c r="C386" s="1" t="str">
        <f>IF(COUNTIF(Substitutas!$B:$B, B386) &gt; 0, "✅ Tenho", "❌ Faltando")</f>
        <v>❌ Faltando</v>
      </c>
      <c r="D386" s="1" t="str">
        <f>_xlfn.XLOOKUP(B386, Substitutas!$B:$B, Substitutas!$A:$A, "-")</f>
        <v>-</v>
      </c>
    </row>
    <row r="387" spans="1:4" x14ac:dyDescent="0.25">
      <c r="A387" t="s">
        <v>632</v>
      </c>
      <c r="B387" t="s">
        <v>206</v>
      </c>
      <c r="C387" s="1" t="str">
        <f>IF(COUNTIF(Substitutas!$B:$B, B387) &gt; 0, "✅ Tenho", "❌ Faltando")</f>
        <v>❌ Faltando</v>
      </c>
      <c r="D387" s="1" t="str">
        <f>_xlfn.XLOOKUP(B387, Substitutas!$B:$B, Substitutas!$A:$A, "-")</f>
        <v>-</v>
      </c>
    </row>
    <row r="388" spans="1:4" x14ac:dyDescent="0.25">
      <c r="A388" t="s">
        <v>2616</v>
      </c>
      <c r="B388" t="s">
        <v>2683</v>
      </c>
      <c r="C388" s="1" t="str">
        <f>IF(COUNTIF(Substitutas!$B:$B, B388) &gt; 0, "✅ Tenho", "❌ Faltando")</f>
        <v>❌ Faltando</v>
      </c>
      <c r="D388" s="1" t="str">
        <f>_xlfn.XLOOKUP(B388, Substitutas!$B:$B, Substitutas!$A:$A, "-")</f>
        <v>-</v>
      </c>
    </row>
    <row r="389" spans="1:4" x14ac:dyDescent="0.25">
      <c r="A389" t="s">
        <v>2616</v>
      </c>
      <c r="B389" t="s">
        <v>2828</v>
      </c>
      <c r="C389" s="1" t="str">
        <f>IF(COUNTIF(Substitutas!$B:$B, B389) &gt; 0, "✅ Tenho", "❌ Faltando")</f>
        <v>❌ Faltando</v>
      </c>
      <c r="D389" s="1" t="str">
        <f>_xlfn.XLOOKUP(B389, Substitutas!$B:$B, Substitutas!$A:$A, "-")</f>
        <v>-</v>
      </c>
    </row>
    <row r="390" spans="1:4" x14ac:dyDescent="0.25">
      <c r="A390" t="s">
        <v>612</v>
      </c>
      <c r="B390" t="s">
        <v>87</v>
      </c>
      <c r="C390" s="1" t="str">
        <f>IF(COUNTIF(Substitutas!$B:$B, B390) &gt; 0, "✅ Tenho", "❌ Faltando")</f>
        <v>❌ Faltando</v>
      </c>
      <c r="D390" s="1" t="str">
        <f>_xlfn.XLOOKUP(B390, Substitutas!$B:$B, Substitutas!$A:$A, "-")</f>
        <v>-</v>
      </c>
    </row>
    <row r="391" spans="1:4" x14ac:dyDescent="0.25">
      <c r="A391" t="s">
        <v>608</v>
      </c>
      <c r="B391" t="s">
        <v>62</v>
      </c>
      <c r="C391" s="1" t="str">
        <f>IF(COUNTIF(Substitutas!$B:$B, B391) &gt; 0, "✅ Tenho", "❌ Faltando")</f>
        <v>❌ Faltando</v>
      </c>
      <c r="D391" s="1" t="str">
        <f>_xlfn.XLOOKUP(B391, Substitutas!$B:$B, Substitutas!$A:$A, "-")</f>
        <v>-</v>
      </c>
    </row>
    <row r="392" spans="1:4" x14ac:dyDescent="0.25">
      <c r="A392" t="s">
        <v>2616</v>
      </c>
      <c r="B392" t="s">
        <v>2645</v>
      </c>
      <c r="C392" s="1" t="str">
        <f>IF(COUNTIF(Substitutas!$B:$B, B392) &gt; 0, "✅ Tenho", "❌ Faltando")</f>
        <v>❌ Faltando</v>
      </c>
      <c r="D392" s="1" t="str">
        <f>_xlfn.XLOOKUP(B392, Substitutas!$B:$B, Substitutas!$A:$A, "-")</f>
        <v>-</v>
      </c>
    </row>
    <row r="393" spans="1:4" x14ac:dyDescent="0.25">
      <c r="A393" t="s">
        <v>2808</v>
      </c>
      <c r="B393" t="s">
        <v>2812</v>
      </c>
      <c r="C393" s="1" t="str">
        <f>IF(COUNTIF(Substitutas!$B:$B, B393) &gt; 0, "✅ Tenho", "❌ Faltando")</f>
        <v>❌ Faltando</v>
      </c>
      <c r="D393" s="1" t="str">
        <f>_xlfn.XLOOKUP(B393, Substitutas!$B:$B, Substitutas!$A:$A, "-")</f>
        <v>-</v>
      </c>
    </row>
    <row r="394" spans="1:4" x14ac:dyDescent="0.25">
      <c r="A394" t="s">
        <v>618</v>
      </c>
      <c r="B394" t="s">
        <v>2762</v>
      </c>
      <c r="C394" s="1" t="str">
        <f>IF(COUNTIF(Substitutas!$B:$B, B394) &gt; 0, "✅ Tenho", "❌ Faltando")</f>
        <v>❌ Faltando</v>
      </c>
      <c r="D394" s="1" t="str">
        <f>_xlfn.XLOOKUP(B394, Substitutas!$B:$B, Substitutas!$A:$A, "-")</f>
        <v>-</v>
      </c>
    </row>
    <row r="395" spans="1:4" x14ac:dyDescent="0.25">
      <c r="A395" t="s">
        <v>915</v>
      </c>
      <c r="B395" t="s">
        <v>938</v>
      </c>
      <c r="C395" s="1" t="str">
        <f>IF(COUNTIF(Substitutas!$B:$B, B395) &gt; 0, "✅ Tenho", "❌ Faltando")</f>
        <v>❌ Faltando</v>
      </c>
      <c r="D395" s="1" t="str">
        <f>_xlfn.XLOOKUP(B395, Substitutas!$B:$B, Substitutas!$A:$A, "-")</f>
        <v>-</v>
      </c>
    </row>
    <row r="396" spans="1:4" x14ac:dyDescent="0.25">
      <c r="A396" t="s">
        <v>2808</v>
      </c>
      <c r="B396" t="s">
        <v>2810</v>
      </c>
      <c r="C396" s="1" t="str">
        <f>IF(COUNTIF(Substitutas!$B:$B, B396) &gt; 0, "✅ Tenho", "❌ Faltando")</f>
        <v>❌ Faltando</v>
      </c>
      <c r="D396" s="1" t="str">
        <f>_xlfn.XLOOKUP(B396, Substitutas!$B:$B, Substitutas!$A:$A, "-")</f>
        <v>-</v>
      </c>
    </row>
    <row r="397" spans="1:4" x14ac:dyDescent="0.25">
      <c r="A397" t="s">
        <v>619</v>
      </c>
      <c r="B397" t="s">
        <v>152</v>
      </c>
      <c r="C397" s="1" t="str">
        <f>IF(COUNTIF(Substitutas!$B:$B, B397) &gt; 0, "✅ Tenho", "❌ Faltando")</f>
        <v>❌ Faltando</v>
      </c>
      <c r="D397" s="1" t="str">
        <f>_xlfn.XLOOKUP(B397, Substitutas!$B:$B, Substitutas!$A:$A, "-")</f>
        <v>-</v>
      </c>
    </row>
    <row r="398" spans="1:4" x14ac:dyDescent="0.25">
      <c r="A398" t="s">
        <v>627</v>
      </c>
      <c r="B398" t="s">
        <v>119</v>
      </c>
      <c r="C398" s="1" t="str">
        <f>IF(COUNTIF(Substitutas!$B:$B, B398) &gt; 0, "✅ Tenho", "❌ Faltando")</f>
        <v>❌ Faltando</v>
      </c>
      <c r="D398" s="1" t="str">
        <f>_xlfn.XLOOKUP(B398, Substitutas!$B:$B, Substitutas!$A:$A, "-")</f>
        <v>-</v>
      </c>
    </row>
    <row r="399" spans="1:4" x14ac:dyDescent="0.25">
      <c r="A399" t="s">
        <v>831</v>
      </c>
      <c r="B399" t="s">
        <v>886</v>
      </c>
      <c r="C399" s="1" t="str">
        <f>IF(COUNTIF(Substitutas!$B:$B, B399) &gt; 0, "✅ Tenho", "❌ Faltando")</f>
        <v>❌ Faltando</v>
      </c>
      <c r="D399" s="1" t="str">
        <f>_xlfn.XLOOKUP(B399, Substitutas!$B:$B, Substitutas!$A:$A, "-")</f>
        <v>-</v>
      </c>
    </row>
    <row r="400" spans="1:4" x14ac:dyDescent="0.25">
      <c r="A400" t="s">
        <v>611</v>
      </c>
      <c r="B400" t="s">
        <v>1043</v>
      </c>
      <c r="C400" s="1" t="str">
        <f>IF(COUNTIF(Substitutas!$B:$B, B400) &gt; 0, "✅ Tenho", "❌ Faltando")</f>
        <v>❌ Faltando</v>
      </c>
      <c r="D400" s="1" t="str">
        <f>_xlfn.XLOOKUP(B400, Substitutas!$B:$B, Substitutas!$A:$A, "-")</f>
        <v>-</v>
      </c>
    </row>
    <row r="401" spans="1:4" x14ac:dyDescent="0.25">
      <c r="A401" t="s">
        <v>612</v>
      </c>
      <c r="B401" t="s">
        <v>1043</v>
      </c>
      <c r="C401" s="1" t="str">
        <f>IF(COUNTIF(Substitutas!$B:$B, B401) &gt; 0, "✅ Tenho", "❌ Faltando")</f>
        <v>❌ Faltando</v>
      </c>
      <c r="D401" s="1" t="str">
        <f>_xlfn.XLOOKUP(B401, Substitutas!$B:$B, Substitutas!$A:$A, "-")</f>
        <v>-</v>
      </c>
    </row>
    <row r="402" spans="1:4" x14ac:dyDescent="0.25">
      <c r="A402" t="s">
        <v>611</v>
      </c>
      <c r="B402" t="s">
        <v>85</v>
      </c>
      <c r="C402" s="1" t="str">
        <f>IF(COUNTIF(Substitutas!$B:$B, B402) &gt; 0, "✅ Tenho", "❌ Faltando")</f>
        <v>❌ Faltando</v>
      </c>
      <c r="D402" s="1" t="str">
        <f>_xlfn.XLOOKUP(B402, Substitutas!$B:$B, Substitutas!$A:$A, "-")</f>
        <v>-</v>
      </c>
    </row>
    <row r="403" spans="1:4" x14ac:dyDescent="0.25">
      <c r="A403" t="s">
        <v>612</v>
      </c>
      <c r="B403" t="s">
        <v>85</v>
      </c>
      <c r="C403" s="1" t="str">
        <f>IF(COUNTIF(Substitutas!$B:$B, B403) &gt; 0, "✅ Tenho", "❌ Faltando")</f>
        <v>❌ Faltando</v>
      </c>
      <c r="D403" s="1" t="str">
        <f>_xlfn.XLOOKUP(B403, Substitutas!$B:$B, Substitutas!$A:$A, "-")</f>
        <v>-</v>
      </c>
    </row>
    <row r="404" spans="1:4" x14ac:dyDescent="0.25">
      <c r="A404" t="s">
        <v>612</v>
      </c>
      <c r="B404" t="s">
        <v>91</v>
      </c>
      <c r="C404" s="1" t="str">
        <f>IF(COUNTIF(Substitutas!$B:$B, B404) &gt; 0, "✅ Tenho", "❌ Faltando")</f>
        <v>❌ Faltando</v>
      </c>
      <c r="D404" s="1" t="str">
        <f>_xlfn.XLOOKUP(B404, Substitutas!$B:$B, Substitutas!$A:$A, "-")</f>
        <v>-</v>
      </c>
    </row>
    <row r="405" spans="1:4" x14ac:dyDescent="0.25">
      <c r="A405" t="s">
        <v>633</v>
      </c>
      <c r="B405" t="s">
        <v>210</v>
      </c>
      <c r="C405" s="1" t="str">
        <f>IF(COUNTIF(Substitutas!$B:$B, B405) &gt; 0, "✅ Tenho", "❌ Faltando")</f>
        <v>❌ Faltando</v>
      </c>
      <c r="D405" s="1" t="str">
        <f>_xlfn.XLOOKUP(B405, Substitutas!$B:$B, Substitutas!$A:$A, "-")</f>
        <v>-</v>
      </c>
    </row>
    <row r="406" spans="1:4" x14ac:dyDescent="0.25">
      <c r="A406" t="s">
        <v>831</v>
      </c>
      <c r="B406" t="s">
        <v>884</v>
      </c>
      <c r="C406" s="1" t="str">
        <f>IF(COUNTIF(Substitutas!$B:$B, B406) &gt; 0, "✅ Tenho", "❌ Faltando")</f>
        <v>❌ Faltando</v>
      </c>
      <c r="D406" s="1" t="str">
        <f>_xlfn.XLOOKUP(B406, Substitutas!$B:$B, Substitutas!$A:$A, "-")</f>
        <v>-</v>
      </c>
    </row>
    <row r="407" spans="1:4" x14ac:dyDescent="0.25">
      <c r="A407" t="s">
        <v>915</v>
      </c>
      <c r="B407" t="s">
        <v>922</v>
      </c>
      <c r="C407" s="1" t="str">
        <f>IF(COUNTIF(Substitutas!$B:$B, B407) &gt; 0, "✅ Tenho", "❌ Faltando")</f>
        <v>❌ Faltando</v>
      </c>
      <c r="D407" s="1" t="str">
        <f>_xlfn.XLOOKUP(B407, Substitutas!$B:$B, Substitutas!$A:$A, "-")</f>
        <v>-</v>
      </c>
    </row>
    <row r="408" spans="1:4" x14ac:dyDescent="0.25">
      <c r="A408" t="s">
        <v>1045</v>
      </c>
      <c r="B408" t="s">
        <v>1077</v>
      </c>
      <c r="C408" s="1" t="str">
        <f>IF(COUNTIF(Substitutas!$B:$B, B408) &gt; 0, "✅ Tenho", "❌ Faltando")</f>
        <v>❌ Faltando</v>
      </c>
      <c r="D408" s="1" t="str">
        <f>_xlfn.XLOOKUP(B408, Substitutas!$B:$B, Substitutas!$A:$A, "-")</f>
        <v>-</v>
      </c>
    </row>
    <row r="409" spans="1:4" x14ac:dyDescent="0.25">
      <c r="A409" t="s">
        <v>611</v>
      </c>
      <c r="B409" t="s">
        <v>81</v>
      </c>
      <c r="C409" s="1" t="str">
        <f>IF(COUNTIF(Substitutas!$B:$B, B409) &gt; 0, "✅ Tenho", "❌ Faltando")</f>
        <v>❌ Faltando</v>
      </c>
      <c r="D409" s="1" t="str">
        <f>_xlfn.XLOOKUP(B409, Substitutas!$B:$B, Substitutas!$A:$A, "-")</f>
        <v>-</v>
      </c>
    </row>
    <row r="410" spans="1:4" x14ac:dyDescent="0.25">
      <c r="A410" t="s">
        <v>628</v>
      </c>
      <c r="B410" t="s">
        <v>179</v>
      </c>
      <c r="C410" s="1" t="str">
        <f>IF(COUNTIF(Substitutas!$B:$B, B410) &gt; 0, "✅ Tenho", "❌ Faltando")</f>
        <v>❌ Faltando</v>
      </c>
      <c r="D410" s="1" t="str">
        <f>_xlfn.XLOOKUP(B410, Substitutas!$B:$B, Substitutas!$A:$A, "-")</f>
        <v>-</v>
      </c>
    </row>
    <row r="411" spans="1:4" x14ac:dyDescent="0.25">
      <c r="A411" t="s">
        <v>614</v>
      </c>
      <c r="B411" t="s">
        <v>56</v>
      </c>
      <c r="C411" s="1" t="str">
        <f>IF(COUNTIF(Substitutas!$B:$B, B411) &gt; 0, "✅ Tenho", "❌ Faltando")</f>
        <v>❌ Faltando</v>
      </c>
      <c r="D411" s="1" t="str">
        <f>_xlfn.XLOOKUP(B411, Substitutas!$B:$B, Substitutas!$A:$A, "-")</f>
        <v>-</v>
      </c>
    </row>
    <row r="412" spans="1:4" x14ac:dyDescent="0.25">
      <c r="A412" t="s">
        <v>633</v>
      </c>
      <c r="B412" t="s">
        <v>56</v>
      </c>
      <c r="C412" s="1" t="str">
        <f>IF(COUNTIF(Substitutas!$B:$B, B412) &gt; 0, "✅ Tenho", "❌ Faltando")</f>
        <v>❌ Faltando</v>
      </c>
      <c r="D412" s="1" t="str">
        <f>_xlfn.XLOOKUP(B412, Substitutas!$B:$B, Substitutas!$A:$A, "-")</f>
        <v>-</v>
      </c>
    </row>
    <row r="413" spans="1:4" x14ac:dyDescent="0.25">
      <c r="A413" t="s">
        <v>633</v>
      </c>
      <c r="B413" t="s">
        <v>211</v>
      </c>
      <c r="C413" s="1" t="str">
        <f>IF(COUNTIF(Substitutas!$B:$B, B413) &gt; 0, "✅ Tenho", "❌ Faltando")</f>
        <v>❌ Faltando</v>
      </c>
      <c r="D413" s="1" t="str">
        <f>_xlfn.XLOOKUP(B413, Substitutas!$B:$B, Substitutas!$A:$A, "-")</f>
        <v>-</v>
      </c>
    </row>
    <row r="414" spans="1:4" x14ac:dyDescent="0.25">
      <c r="A414" t="s">
        <v>1012</v>
      </c>
      <c r="B414" t="s">
        <v>1016</v>
      </c>
      <c r="C414" s="1" t="str">
        <f>IF(COUNTIF(Substitutas!$B:$B, B414) &gt; 0, "✅ Tenho", "❌ Faltando")</f>
        <v>❌ Faltando</v>
      </c>
      <c r="D414" s="1" t="str">
        <f>_xlfn.XLOOKUP(B414, Substitutas!$B:$B, Substitutas!$A:$A, "-")</f>
        <v>-</v>
      </c>
    </row>
    <row r="415" spans="1:4" x14ac:dyDescent="0.25">
      <c r="A415" t="s">
        <v>615</v>
      </c>
      <c r="B415" t="s">
        <v>129</v>
      </c>
      <c r="C415" s="1" t="str">
        <f>IF(COUNTIF(Substitutas!$B:$B, B415) &gt; 0, "✅ Tenho", "❌ Faltando")</f>
        <v>❌ Faltando</v>
      </c>
      <c r="D415" s="1" t="str">
        <f>_xlfn.XLOOKUP(B415, Substitutas!$B:$B, Substitutas!$A:$A, "-")</f>
        <v>-</v>
      </c>
    </row>
    <row r="416" spans="1:4" x14ac:dyDescent="0.25">
      <c r="A416" t="s">
        <v>628</v>
      </c>
      <c r="B416" t="s">
        <v>2778</v>
      </c>
      <c r="C416" s="1" t="str">
        <f>IF(COUNTIF(Substitutas!$B:$B, B416) &gt; 0, "✅ Tenho", "❌ Faltando")</f>
        <v>❌ Faltando</v>
      </c>
      <c r="D416" s="1" t="str">
        <f>_xlfn.XLOOKUP(B416, Substitutas!$B:$B, Substitutas!$A:$A, "-")</f>
        <v>-</v>
      </c>
    </row>
    <row r="417" spans="1:4" x14ac:dyDescent="0.25">
      <c r="A417" t="s">
        <v>614</v>
      </c>
      <c r="B417" t="s">
        <v>1011</v>
      </c>
      <c r="C417" s="1" t="str">
        <f>IF(COUNTIF(Substitutas!$B:$B, B417) &gt; 0, "✅ Tenho", "❌ Faltando")</f>
        <v>❌ Faltando</v>
      </c>
      <c r="D417" s="1" t="str">
        <f>_xlfn.XLOOKUP(B417, Substitutas!$B:$B, Substitutas!$A:$A, "-")</f>
        <v>-</v>
      </c>
    </row>
    <row r="418" spans="1:4" x14ac:dyDescent="0.25">
      <c r="A418" t="s">
        <v>613</v>
      </c>
      <c r="B418" t="s">
        <v>95</v>
      </c>
      <c r="C418" s="1" t="str">
        <f>IF(COUNTIF(Substitutas!$B:$B, B418) &gt; 0, "✅ Tenho", "❌ Faltando")</f>
        <v>❌ Faltando</v>
      </c>
      <c r="D418" s="1" t="str">
        <f>_xlfn.XLOOKUP(B418, Substitutas!$B:$B, Substitutas!$A:$A, "-")</f>
        <v>-</v>
      </c>
    </row>
    <row r="419" spans="1:4" x14ac:dyDescent="0.25">
      <c r="A419" t="s">
        <v>915</v>
      </c>
      <c r="B419" t="s">
        <v>939</v>
      </c>
      <c r="C419" s="1" t="str">
        <f>IF(COUNTIF(Substitutas!$B:$B, B419) &gt; 0, "✅ Tenho", "❌ Faltando")</f>
        <v>❌ Faltando</v>
      </c>
      <c r="D419" s="1" t="str">
        <f>_xlfn.XLOOKUP(B419, Substitutas!$B:$B, Substitutas!$A:$A, "-")</f>
        <v>-</v>
      </c>
    </row>
    <row r="420" spans="1:4" x14ac:dyDescent="0.25">
      <c r="A420" t="s">
        <v>623</v>
      </c>
      <c r="B420" t="s">
        <v>169</v>
      </c>
      <c r="C420" s="1" t="str">
        <f>IF(COUNTIF(Substitutas!$B:$B, B420) &gt; 0, "✅ Tenho", "❌ Faltando")</f>
        <v>❌ Faltando</v>
      </c>
      <c r="D420" s="1" t="str">
        <f>_xlfn.XLOOKUP(B420, Substitutas!$B:$B, Substitutas!$A:$A, "-")</f>
        <v>-</v>
      </c>
    </row>
    <row r="421" spans="1:4" x14ac:dyDescent="0.25">
      <c r="A421" t="s">
        <v>628</v>
      </c>
      <c r="B421" t="s">
        <v>1080</v>
      </c>
      <c r="C421" s="1" t="str">
        <f>IF(COUNTIF(Substitutas!$B:$B, B421) &gt; 0, "✅ Tenho", "❌ Faltando")</f>
        <v>❌ Faltando</v>
      </c>
      <c r="D421" s="1" t="str">
        <f>_xlfn.XLOOKUP(B421, Substitutas!$B:$B, Substitutas!$A:$A, "-")</f>
        <v>-</v>
      </c>
    </row>
    <row r="422" spans="1:4" x14ac:dyDescent="0.25">
      <c r="A422" t="s">
        <v>616</v>
      </c>
      <c r="B422" t="s">
        <v>2756</v>
      </c>
      <c r="C422" s="1" t="str">
        <f>IF(COUNTIF(Substitutas!$B:$B, B422) &gt; 0, "✅ Tenho", "❌ Faltando")</f>
        <v>❌ Faltando</v>
      </c>
      <c r="D422" s="1" t="str">
        <f>_xlfn.XLOOKUP(B422, Substitutas!$B:$B, Substitutas!$A:$A, "-")</f>
        <v>-</v>
      </c>
    </row>
    <row r="423" spans="1:4" x14ac:dyDescent="0.25">
      <c r="A423" t="s">
        <v>605</v>
      </c>
      <c r="B423" t="s">
        <v>43</v>
      </c>
      <c r="C423" s="1" t="str">
        <f>IF(COUNTIF(Substitutas!$B:$B, B423) &gt; 0, "✅ Tenho", "❌ Faltando")</f>
        <v>❌ Faltando</v>
      </c>
      <c r="D423" s="1" t="str">
        <f>_xlfn.XLOOKUP(B423, Substitutas!$B:$B, Substitutas!$A:$A, "-")</f>
        <v>-</v>
      </c>
    </row>
    <row r="424" spans="1:4" x14ac:dyDescent="0.25">
      <c r="A424" t="s">
        <v>608</v>
      </c>
      <c r="B424" t="s">
        <v>63</v>
      </c>
      <c r="C424" s="1" t="str">
        <f>IF(COUNTIF(Substitutas!$B:$B, B424) &gt; 0, "✅ Tenho", "❌ Faltando")</f>
        <v>❌ Faltando</v>
      </c>
      <c r="D424" s="1" t="str">
        <f>_xlfn.XLOOKUP(B424, Substitutas!$B:$B, Substitutas!$A:$A, "-")</f>
        <v>-</v>
      </c>
    </row>
    <row r="425" spans="1:4" x14ac:dyDescent="0.25">
      <c r="A425" t="s">
        <v>609</v>
      </c>
      <c r="B425" t="s">
        <v>63</v>
      </c>
      <c r="C425" s="1" t="str">
        <f>IF(COUNTIF(Substitutas!$B:$B, B425) &gt; 0, "✅ Tenho", "❌ Faltando")</f>
        <v>❌ Faltando</v>
      </c>
      <c r="D425" s="1" t="str">
        <f>_xlfn.XLOOKUP(B425, Substitutas!$B:$B, Substitutas!$A:$A, "-")</f>
        <v>-</v>
      </c>
    </row>
    <row r="426" spans="1:4" x14ac:dyDescent="0.25">
      <c r="A426" t="s">
        <v>915</v>
      </c>
      <c r="B426" t="s">
        <v>919</v>
      </c>
      <c r="C426" s="1" t="str">
        <f>IF(COUNTIF(Substitutas!$B:$B, B426) &gt; 0, "✅ Tenho", "❌ Faltando")</f>
        <v>❌ Faltando</v>
      </c>
      <c r="D426" s="1" t="str">
        <f>_xlfn.XLOOKUP(B426, Substitutas!$B:$B, Substitutas!$A:$A, "-")</f>
        <v>-</v>
      </c>
    </row>
    <row r="427" spans="1:4" x14ac:dyDescent="0.25">
      <c r="A427" t="s">
        <v>1045</v>
      </c>
      <c r="B427" t="s">
        <v>1063</v>
      </c>
      <c r="C427" s="1" t="str">
        <f>IF(COUNTIF(Substitutas!$B:$B, B427) &gt; 0, "✅ Tenho", "❌ Faltando")</f>
        <v>❌ Faltando</v>
      </c>
      <c r="D427" s="1" t="str">
        <f>_xlfn.XLOOKUP(B427, Substitutas!$B:$B, Substitutas!$A:$A, "-")</f>
        <v>-</v>
      </c>
    </row>
    <row r="428" spans="1:4" x14ac:dyDescent="0.25">
      <c r="A428" t="s">
        <v>831</v>
      </c>
      <c r="B428" t="s">
        <v>832</v>
      </c>
      <c r="C428" s="1" t="str">
        <f>IF(COUNTIF(Substitutas!$B:$B, B428) &gt; 0, "✅ Tenho", "❌ Faltando")</f>
        <v>❌ Faltando</v>
      </c>
      <c r="D428" s="1" t="str">
        <f>_xlfn.XLOOKUP(B428, Substitutas!$B:$B, Substitutas!$A:$A, "-")</f>
        <v>-</v>
      </c>
    </row>
    <row r="429" spans="1:4" x14ac:dyDescent="0.25">
      <c r="A429" t="s">
        <v>2616</v>
      </c>
      <c r="B429" t="s">
        <v>2633</v>
      </c>
      <c r="C429" s="1" t="str">
        <f>IF(COUNTIF(Substitutas!$B:$B, B429) &gt; 0, "✅ Tenho", "❌ Faltando")</f>
        <v>❌ Faltando</v>
      </c>
      <c r="D429" s="1" t="str">
        <f>_xlfn.XLOOKUP(B429, Substitutas!$B:$B, Substitutas!$A:$A, "-")</f>
        <v>-</v>
      </c>
    </row>
    <row r="430" spans="1:4" x14ac:dyDescent="0.25">
      <c r="A430" t="s">
        <v>2616</v>
      </c>
      <c r="B430" t="s">
        <v>2650</v>
      </c>
      <c r="C430" s="1" t="str">
        <f>IF(COUNTIF(Substitutas!$B:$B, B430) &gt; 0, "✅ Tenho", "❌ Faltando")</f>
        <v>❌ Faltando</v>
      </c>
      <c r="D430" s="1" t="str">
        <f>_xlfn.XLOOKUP(B430, Substitutas!$B:$B, Substitutas!$A:$A, "-")</f>
        <v>-</v>
      </c>
    </row>
    <row r="431" spans="1:4" x14ac:dyDescent="0.25">
      <c r="A431" t="s">
        <v>616</v>
      </c>
      <c r="B431" t="s">
        <v>144</v>
      </c>
      <c r="C431" s="1" t="str">
        <f>IF(COUNTIF(Substitutas!$B:$B, B431) &gt; 0, "✅ Tenho", "❌ Faltando")</f>
        <v>❌ Faltando</v>
      </c>
      <c r="D431" s="1" t="str">
        <f>_xlfn.XLOOKUP(B431, Substitutas!$B:$B, Substitutas!$A:$A, "-")</f>
        <v>-</v>
      </c>
    </row>
    <row r="432" spans="1:4" x14ac:dyDescent="0.25">
      <c r="A432" t="s">
        <v>2616</v>
      </c>
      <c r="B432" t="s">
        <v>2643</v>
      </c>
      <c r="C432" s="1" t="str">
        <f>IF(COUNTIF(Substitutas!$B:$B, B432) &gt; 0, "✅ Tenho", "❌ Faltando")</f>
        <v>❌ Faltando</v>
      </c>
      <c r="D432" s="1" t="str">
        <f>_xlfn.XLOOKUP(B432, Substitutas!$B:$B, Substitutas!$A:$A, "-")</f>
        <v>-</v>
      </c>
    </row>
    <row r="433" spans="1:4" x14ac:dyDescent="0.25">
      <c r="A433" t="s">
        <v>2616</v>
      </c>
      <c r="B433" t="s">
        <v>2666</v>
      </c>
      <c r="C433" s="1" t="str">
        <f>IF(COUNTIF(Substitutas!$B:$B, B433) &gt; 0, "✅ Tenho", "❌ Faltando")</f>
        <v>❌ Faltando</v>
      </c>
      <c r="D433" s="1" t="str">
        <f>_xlfn.XLOOKUP(B433, Substitutas!$B:$B, Substitutas!$A:$A, "-")</f>
        <v>-</v>
      </c>
    </row>
    <row r="434" spans="1:4" x14ac:dyDescent="0.25">
      <c r="A434" t="s">
        <v>2616</v>
      </c>
      <c r="B434" t="s">
        <v>2681</v>
      </c>
      <c r="C434" s="1" t="str">
        <f>IF(COUNTIF(Substitutas!$B:$B, B434) &gt; 0, "✅ Tenho", "❌ Faltando")</f>
        <v>❌ Faltando</v>
      </c>
      <c r="D434" s="1" t="str">
        <f>_xlfn.XLOOKUP(B434, Substitutas!$B:$B, Substitutas!$A:$A, "-")</f>
        <v>-</v>
      </c>
    </row>
    <row r="435" spans="1:4" x14ac:dyDescent="0.25">
      <c r="A435" t="s">
        <v>2616</v>
      </c>
      <c r="B435" t="s">
        <v>2668</v>
      </c>
      <c r="C435" s="1" t="str">
        <f>IF(COUNTIF(Substitutas!$B:$B, B435) &gt; 0, "✅ Tenho", "❌ Faltando")</f>
        <v>❌ Faltando</v>
      </c>
      <c r="D435" s="1" t="str">
        <f>_xlfn.XLOOKUP(B435, Substitutas!$B:$B, Substitutas!$A:$A, "-")</f>
        <v>-</v>
      </c>
    </row>
    <row r="436" spans="1:4" x14ac:dyDescent="0.25">
      <c r="A436" t="s">
        <v>608</v>
      </c>
      <c r="B436" t="s">
        <v>61</v>
      </c>
      <c r="C436" s="1" t="str">
        <f>IF(COUNTIF(Substitutas!$B:$B, B436) &gt; 0, "✅ Tenho", "❌ Faltando")</f>
        <v>❌ Faltando</v>
      </c>
      <c r="D436" s="1" t="str">
        <f>_xlfn.XLOOKUP(B436, Substitutas!$B:$B, Substitutas!$A:$A, "-")</f>
        <v>-</v>
      </c>
    </row>
    <row r="437" spans="1:4" x14ac:dyDescent="0.25">
      <c r="A437" t="s">
        <v>609</v>
      </c>
      <c r="B437" t="s">
        <v>61</v>
      </c>
      <c r="C437" s="1" t="str">
        <f>IF(COUNTIF(Substitutas!$B:$B, B437) &gt; 0, "✅ Tenho", "❌ Faltando")</f>
        <v>❌ Faltando</v>
      </c>
      <c r="D437" s="1" t="str">
        <f>_xlfn.XLOOKUP(B437, Substitutas!$B:$B, Substitutas!$A:$A, "-")</f>
        <v>-</v>
      </c>
    </row>
    <row r="438" spans="1:4" x14ac:dyDescent="0.25">
      <c r="A438" t="s">
        <v>616</v>
      </c>
      <c r="B438" t="s">
        <v>141</v>
      </c>
      <c r="C438" s="1" t="str">
        <f>IF(COUNTIF(Substitutas!$B:$B, B438) &gt; 0, "✅ Tenho", "❌ Faltando")</f>
        <v>❌ Faltando</v>
      </c>
      <c r="D438" s="1" t="str">
        <f>_xlfn.XLOOKUP(B438, Substitutas!$B:$B, Substitutas!$A:$A, "-")</f>
        <v>-</v>
      </c>
    </row>
  </sheetData>
  <mergeCells count="3">
    <mergeCell ref="H1:L1"/>
    <mergeCell ref="M1:P1"/>
    <mergeCell ref="F1:G1"/>
  </mergeCells>
  <conditionalFormatting sqref="G35:O38 G5:N5 H4:O4 H6:O9 H3:L3 G3:G4 H12:O14 H14:N19 H10:N12 H34:O37 O33:O36 H19:O24 H29:O29 H21:N49 H43:O47 G25:O28 G6:G49 G48:N5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L50">
    <cfRule type="containsText" dxfId="19" priority="8" operator="containsText" text="Não">
      <formula>NOT(ISERROR(SEARCH("Não",H1)))</formula>
    </cfRule>
  </conditionalFormatting>
  <conditionalFormatting sqref="H66:L1048576">
    <cfRule type="containsText" dxfId="18" priority="12" operator="containsText" text="Não">
      <formula>NOT(ISERROR(SEARCH("Não",H66)))</formula>
    </cfRule>
  </conditionalFormatting>
  <conditionalFormatting sqref="H39:N3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0:N4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1:N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2:N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6:I1048576 I1:I50">
    <cfRule type="containsText" dxfId="17" priority="16" operator="containsText" text="Sim">
      <formula>NOT(ISERROR(SEARCH("Sim",I1)))</formula>
    </cfRule>
  </conditionalFormatting>
  <conditionalFormatting sqref="I2:L2 H66:H1048576 H1:H50">
    <cfRule type="containsText" dxfId="16" priority="17" operator="containsText" text="Sim">
      <formula>NOT(ISERROR(SEARCH("Sim",H1)))</formula>
    </cfRule>
  </conditionalFormatting>
  <conditionalFormatting sqref="J66:J1048576 J1:J50">
    <cfRule type="containsText" dxfId="15" priority="13" operator="containsText" text="Sim">
      <formula>NOT(ISERROR(SEARCH("Sim",J1)))</formula>
    </cfRule>
  </conditionalFormatting>
  <conditionalFormatting sqref="K66:K1048576 K1:K50">
    <cfRule type="containsText" dxfId="14" priority="14" operator="containsText" text="Sim">
      <formula>NOT(ISERROR(SEARCH("Sim",K1)))</formula>
    </cfRule>
  </conditionalFormatting>
  <conditionalFormatting sqref="L66:L1048576 L1:L50">
    <cfRule type="containsText" dxfId="13" priority="15" operator="containsText" text="Sim">
      <formula>NOT(ISERROR(SEARCH("Sim",L1)))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FE62-D55F-4C35-B41A-44611BB57512}">
  <dimension ref="A1:D377"/>
  <sheetViews>
    <sheetView topLeftCell="A346" workbookViewId="0">
      <selection activeCell="B301" sqref="B301:B377"/>
    </sheetView>
  </sheetViews>
  <sheetFormatPr defaultRowHeight="15" x14ac:dyDescent="0.25"/>
  <cols>
    <col min="1" max="1" width="20.7109375" style="1" bestFit="1" customWidth="1"/>
    <col min="2" max="2" width="38.28515625" bestFit="1" customWidth="1"/>
    <col min="3" max="3" width="18.5703125" style="1" bestFit="1" customWidth="1"/>
    <col min="4" max="4" width="15.4257812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216</v>
      </c>
    </row>
    <row r="2" spans="1:4" x14ac:dyDescent="0.25">
      <c r="A2" s="1" t="s">
        <v>2616</v>
      </c>
      <c r="B2" t="s">
        <v>2673</v>
      </c>
      <c r="C2" s="1">
        <v>0.03</v>
      </c>
      <c r="D2" s="1" t="s">
        <v>218</v>
      </c>
    </row>
    <row r="3" spans="1:4" x14ac:dyDescent="0.25">
      <c r="A3" s="1" t="s">
        <v>2616</v>
      </c>
      <c r="B3" t="s">
        <v>641</v>
      </c>
      <c r="C3" s="1">
        <v>0.11</v>
      </c>
      <c r="D3" s="1" t="s">
        <v>218</v>
      </c>
    </row>
    <row r="4" spans="1:4" x14ac:dyDescent="0.25">
      <c r="A4" s="1" t="s">
        <v>2616</v>
      </c>
      <c r="B4" t="s">
        <v>2726</v>
      </c>
      <c r="C4" s="1">
        <v>0.11</v>
      </c>
      <c r="D4" s="1" t="s">
        <v>218</v>
      </c>
    </row>
    <row r="5" spans="1:4" x14ac:dyDescent="0.25">
      <c r="A5" s="1" t="s">
        <v>2616</v>
      </c>
      <c r="B5" t="s">
        <v>2629</v>
      </c>
      <c r="C5" s="1">
        <v>0.12</v>
      </c>
      <c r="D5" s="1" t="s">
        <v>218</v>
      </c>
    </row>
    <row r="6" spans="1:4" x14ac:dyDescent="0.25">
      <c r="A6" s="1" t="s">
        <v>2616</v>
      </c>
      <c r="B6" t="s">
        <v>2674</v>
      </c>
      <c r="C6" s="1">
        <v>0.12</v>
      </c>
      <c r="D6" s="1" t="s">
        <v>218</v>
      </c>
    </row>
    <row r="7" spans="1:4" x14ac:dyDescent="0.25">
      <c r="A7" s="1" t="s">
        <v>2616</v>
      </c>
      <c r="B7" t="s">
        <v>2727</v>
      </c>
      <c r="C7" s="1">
        <v>0.12</v>
      </c>
      <c r="D7" s="1" t="s">
        <v>218</v>
      </c>
    </row>
    <row r="8" spans="1:4" x14ac:dyDescent="0.25">
      <c r="A8" s="1" t="s">
        <v>2616</v>
      </c>
      <c r="B8" t="s">
        <v>2828</v>
      </c>
      <c r="C8" s="1">
        <v>0.14000000000000001</v>
      </c>
      <c r="D8" s="1" t="s">
        <v>218</v>
      </c>
    </row>
    <row r="9" spans="1:4" x14ac:dyDescent="0.25">
      <c r="A9" s="1" t="s">
        <v>2616</v>
      </c>
      <c r="B9" t="s">
        <v>2632</v>
      </c>
      <c r="C9" s="1">
        <v>0.17</v>
      </c>
      <c r="D9" s="1" t="s">
        <v>218</v>
      </c>
    </row>
    <row r="10" spans="1:4" x14ac:dyDescent="0.25">
      <c r="A10" s="1" t="s">
        <v>2616</v>
      </c>
      <c r="B10" t="s">
        <v>2664</v>
      </c>
      <c r="C10" s="1">
        <v>0.17</v>
      </c>
      <c r="D10" s="1" t="s">
        <v>218</v>
      </c>
    </row>
    <row r="11" spans="1:4" x14ac:dyDescent="0.25">
      <c r="A11" s="1" t="s">
        <v>2616</v>
      </c>
      <c r="B11" t="s">
        <v>639</v>
      </c>
      <c r="C11" s="1">
        <v>0.18</v>
      </c>
      <c r="D11" s="1" t="s">
        <v>218</v>
      </c>
    </row>
    <row r="12" spans="1:4" x14ac:dyDescent="0.25">
      <c r="A12" s="1" t="s">
        <v>2616</v>
      </c>
      <c r="B12" t="s">
        <v>2648</v>
      </c>
      <c r="C12" s="1">
        <v>0.18</v>
      </c>
      <c r="D12" s="1" t="s">
        <v>218</v>
      </c>
    </row>
    <row r="13" spans="1:4" x14ac:dyDescent="0.25">
      <c r="A13" s="1" t="s">
        <v>2616</v>
      </c>
      <c r="B13" t="s">
        <v>2644</v>
      </c>
      <c r="C13" s="1">
        <v>0.19</v>
      </c>
      <c r="D13" s="1" t="s">
        <v>218</v>
      </c>
    </row>
    <row r="14" spans="1:4" x14ac:dyDescent="0.25">
      <c r="A14" s="1" t="s">
        <v>2616</v>
      </c>
      <c r="B14" t="s">
        <v>2633</v>
      </c>
      <c r="C14" s="1">
        <v>0.2</v>
      </c>
      <c r="D14" s="1" t="s">
        <v>218</v>
      </c>
    </row>
    <row r="15" spans="1:4" x14ac:dyDescent="0.25">
      <c r="A15" s="1" t="s">
        <v>2616</v>
      </c>
      <c r="B15" t="s">
        <v>1429</v>
      </c>
      <c r="C15" s="1">
        <v>0.2</v>
      </c>
      <c r="D15" s="1" t="s">
        <v>218</v>
      </c>
    </row>
    <row r="16" spans="1:4" x14ac:dyDescent="0.25">
      <c r="A16" s="1" t="s">
        <v>2616</v>
      </c>
      <c r="B16" t="s">
        <v>2668</v>
      </c>
      <c r="C16" s="1">
        <v>0.21</v>
      </c>
      <c r="D16" s="1" t="s">
        <v>218</v>
      </c>
    </row>
    <row r="17" spans="1:4" x14ac:dyDescent="0.25">
      <c r="A17" s="1" t="s">
        <v>2616</v>
      </c>
      <c r="B17" t="s">
        <v>2675</v>
      </c>
      <c r="C17" s="1">
        <v>0.22</v>
      </c>
      <c r="D17" s="1" t="s">
        <v>218</v>
      </c>
    </row>
    <row r="18" spans="1:4" x14ac:dyDescent="0.25">
      <c r="A18" s="1" t="s">
        <v>2616</v>
      </c>
      <c r="B18" t="s">
        <v>2630</v>
      </c>
      <c r="C18" s="1">
        <v>0.23</v>
      </c>
      <c r="D18" s="1" t="s">
        <v>218</v>
      </c>
    </row>
    <row r="19" spans="1:4" x14ac:dyDescent="0.25">
      <c r="A19" s="1" t="s">
        <v>2616</v>
      </c>
      <c r="B19" t="s">
        <v>2670</v>
      </c>
      <c r="C19" s="1">
        <v>0.23</v>
      </c>
      <c r="D19" s="1" t="s">
        <v>218</v>
      </c>
    </row>
    <row r="20" spans="1:4" x14ac:dyDescent="0.25">
      <c r="A20" s="1" t="s">
        <v>2616</v>
      </c>
      <c r="B20" t="s">
        <v>2829</v>
      </c>
      <c r="C20" s="1">
        <v>0.24</v>
      </c>
      <c r="D20" s="1" t="s">
        <v>218</v>
      </c>
    </row>
    <row r="21" spans="1:4" x14ac:dyDescent="0.25">
      <c r="A21" s="1" t="s">
        <v>2616</v>
      </c>
      <c r="B21" t="s">
        <v>2666</v>
      </c>
      <c r="C21" s="1">
        <v>0.24</v>
      </c>
      <c r="D21" s="1" t="s">
        <v>218</v>
      </c>
    </row>
    <row r="22" spans="1:4" x14ac:dyDescent="0.25">
      <c r="A22" s="1" t="s">
        <v>2616</v>
      </c>
      <c r="B22" t="s">
        <v>2669</v>
      </c>
      <c r="C22" s="1">
        <v>0.24</v>
      </c>
      <c r="D22" s="1" t="s">
        <v>218</v>
      </c>
    </row>
    <row r="23" spans="1:4" x14ac:dyDescent="0.25">
      <c r="A23" s="1" t="s">
        <v>2616</v>
      </c>
      <c r="B23" t="s">
        <v>723</v>
      </c>
      <c r="C23" s="1">
        <v>0.25</v>
      </c>
      <c r="D23" s="1" t="s">
        <v>218</v>
      </c>
    </row>
    <row r="24" spans="1:4" x14ac:dyDescent="0.25">
      <c r="A24" s="1" t="s">
        <v>2616</v>
      </c>
      <c r="B24" t="s">
        <v>2628</v>
      </c>
      <c r="C24" s="1">
        <v>0.25</v>
      </c>
      <c r="D24" s="1" t="s">
        <v>218</v>
      </c>
    </row>
    <row r="25" spans="1:4" x14ac:dyDescent="0.25">
      <c r="A25" s="1" t="s">
        <v>2616</v>
      </c>
      <c r="B25" t="s">
        <v>1354</v>
      </c>
      <c r="C25" s="1">
        <v>0.25</v>
      </c>
      <c r="D25" s="1" t="s">
        <v>218</v>
      </c>
    </row>
    <row r="26" spans="1:4" x14ac:dyDescent="0.25">
      <c r="A26" s="1" t="s">
        <v>2808</v>
      </c>
      <c r="B26" t="s">
        <v>2810</v>
      </c>
      <c r="C26" s="1">
        <v>0.25</v>
      </c>
      <c r="D26" s="1" t="s">
        <v>218</v>
      </c>
    </row>
    <row r="27" spans="1:4" x14ac:dyDescent="0.25">
      <c r="A27" s="1" t="s">
        <v>2808</v>
      </c>
      <c r="B27" t="s">
        <v>104</v>
      </c>
      <c r="C27" s="1">
        <v>0.25</v>
      </c>
      <c r="D27" s="1" t="s">
        <v>218</v>
      </c>
    </row>
    <row r="28" spans="1:4" x14ac:dyDescent="0.25">
      <c r="A28" s="1" t="s">
        <v>2616</v>
      </c>
      <c r="B28" t="s">
        <v>2634</v>
      </c>
      <c r="C28" s="1">
        <v>0.27</v>
      </c>
      <c r="D28" s="1" t="s">
        <v>218</v>
      </c>
    </row>
    <row r="29" spans="1:4" x14ac:dyDescent="0.25">
      <c r="A29" s="1" t="s">
        <v>2616</v>
      </c>
      <c r="B29" t="s">
        <v>785</v>
      </c>
      <c r="C29" s="1">
        <v>0.27</v>
      </c>
      <c r="D29" s="1" t="s">
        <v>218</v>
      </c>
    </row>
    <row r="30" spans="1:4" x14ac:dyDescent="0.25">
      <c r="A30" s="1" t="s">
        <v>620</v>
      </c>
      <c r="B30" t="s">
        <v>2768</v>
      </c>
      <c r="C30" s="1">
        <v>0.27</v>
      </c>
      <c r="D30" s="1" t="s">
        <v>218</v>
      </c>
    </row>
    <row r="31" spans="1:4" x14ac:dyDescent="0.25">
      <c r="A31" s="1" t="s">
        <v>2616</v>
      </c>
      <c r="B31" t="s">
        <v>2656</v>
      </c>
      <c r="C31" s="1">
        <v>0.28000000000000003</v>
      </c>
      <c r="D31" s="1" t="s">
        <v>218</v>
      </c>
    </row>
    <row r="32" spans="1:4" x14ac:dyDescent="0.25">
      <c r="A32" s="1" t="s">
        <v>610</v>
      </c>
      <c r="B32" t="s">
        <v>796</v>
      </c>
      <c r="C32" s="1">
        <v>0.28000000000000003</v>
      </c>
      <c r="D32" s="1" t="s">
        <v>218</v>
      </c>
    </row>
    <row r="33" spans="1:4" x14ac:dyDescent="0.25">
      <c r="A33" s="1" t="s">
        <v>1045</v>
      </c>
      <c r="B33" t="s">
        <v>1057</v>
      </c>
      <c r="C33" s="1">
        <v>0.28000000000000003</v>
      </c>
      <c r="D33" s="1" t="s">
        <v>218</v>
      </c>
    </row>
    <row r="34" spans="1:4" x14ac:dyDescent="0.25">
      <c r="A34" s="1" t="s">
        <v>2808</v>
      </c>
      <c r="B34" t="s">
        <v>2811</v>
      </c>
      <c r="C34" s="1">
        <v>0.28000000000000003</v>
      </c>
      <c r="D34" s="1" t="s">
        <v>218</v>
      </c>
    </row>
    <row r="35" spans="1:4" x14ac:dyDescent="0.25">
      <c r="A35" s="1" t="s">
        <v>2616</v>
      </c>
      <c r="B35" t="s">
        <v>2641</v>
      </c>
      <c r="C35" s="1">
        <v>0.28999999999999998</v>
      </c>
      <c r="D35" s="1" t="s">
        <v>218</v>
      </c>
    </row>
    <row r="36" spans="1:4" x14ac:dyDescent="0.25">
      <c r="A36" s="1" t="s">
        <v>2616</v>
      </c>
      <c r="B36" t="s">
        <v>2663</v>
      </c>
      <c r="C36" s="1">
        <v>0.28999999999999998</v>
      </c>
      <c r="D36" s="1" t="s">
        <v>218</v>
      </c>
    </row>
    <row r="37" spans="1:4" x14ac:dyDescent="0.25">
      <c r="A37" s="1" t="s">
        <v>953</v>
      </c>
      <c r="B37" t="s">
        <v>946</v>
      </c>
      <c r="C37" s="1">
        <v>0.28999999999999998</v>
      </c>
      <c r="D37" s="1" t="s">
        <v>218</v>
      </c>
    </row>
    <row r="38" spans="1:4" x14ac:dyDescent="0.25">
      <c r="A38" s="1" t="s">
        <v>915</v>
      </c>
      <c r="B38" t="s">
        <v>933</v>
      </c>
      <c r="C38" s="1">
        <v>0.28999999999999998</v>
      </c>
      <c r="D38" s="1" t="s">
        <v>218</v>
      </c>
    </row>
    <row r="39" spans="1:4" x14ac:dyDescent="0.25">
      <c r="A39" s="1" t="s">
        <v>622</v>
      </c>
      <c r="B39" t="s">
        <v>2771</v>
      </c>
      <c r="C39" s="1">
        <v>0.28999999999999998</v>
      </c>
      <c r="D39" s="1" t="s">
        <v>218</v>
      </c>
    </row>
    <row r="40" spans="1:4" x14ac:dyDescent="0.25">
      <c r="A40" s="1" t="s">
        <v>2616</v>
      </c>
      <c r="B40" t="s">
        <v>1435</v>
      </c>
      <c r="C40" s="1">
        <v>0.3</v>
      </c>
      <c r="D40" s="1" t="s">
        <v>219</v>
      </c>
    </row>
    <row r="41" spans="1:4" x14ac:dyDescent="0.25">
      <c r="A41" s="1" t="s">
        <v>1045</v>
      </c>
      <c r="B41" t="s">
        <v>1066</v>
      </c>
      <c r="C41" s="1">
        <v>0.3</v>
      </c>
      <c r="D41" s="1" t="s">
        <v>219</v>
      </c>
    </row>
    <row r="42" spans="1:4" x14ac:dyDescent="0.25">
      <c r="A42" s="1" t="s">
        <v>2808</v>
      </c>
      <c r="B42" t="s">
        <v>741</v>
      </c>
      <c r="C42" s="1">
        <v>0.3</v>
      </c>
      <c r="D42" s="1" t="s">
        <v>219</v>
      </c>
    </row>
    <row r="43" spans="1:4" x14ac:dyDescent="0.25">
      <c r="A43" s="1" t="s">
        <v>633</v>
      </c>
      <c r="B43" t="s">
        <v>646</v>
      </c>
      <c r="C43" s="1">
        <v>0.3</v>
      </c>
      <c r="D43" s="1" t="s">
        <v>219</v>
      </c>
    </row>
    <row r="44" spans="1:4" x14ac:dyDescent="0.25">
      <c r="A44" s="1" t="s">
        <v>601</v>
      </c>
      <c r="B44" t="s">
        <v>9</v>
      </c>
      <c r="C44" s="1">
        <v>0.31</v>
      </c>
      <c r="D44" s="1" t="s">
        <v>219</v>
      </c>
    </row>
    <row r="45" spans="1:4" x14ac:dyDescent="0.25">
      <c r="A45" s="1" t="s">
        <v>2616</v>
      </c>
      <c r="B45" t="s">
        <v>2631</v>
      </c>
      <c r="C45" s="1">
        <v>0.31</v>
      </c>
      <c r="D45" s="1" t="s">
        <v>219</v>
      </c>
    </row>
    <row r="46" spans="1:4" x14ac:dyDescent="0.25">
      <c r="A46" s="1" t="s">
        <v>610</v>
      </c>
      <c r="B46" t="s">
        <v>800</v>
      </c>
      <c r="C46" s="1">
        <v>0.31</v>
      </c>
      <c r="D46" s="1" t="s">
        <v>219</v>
      </c>
    </row>
    <row r="47" spans="1:4" x14ac:dyDescent="0.25">
      <c r="A47" s="1" t="s">
        <v>1045</v>
      </c>
      <c r="B47" t="s">
        <v>764</v>
      </c>
      <c r="C47" s="1">
        <v>0.31</v>
      </c>
      <c r="D47" s="1" t="s">
        <v>219</v>
      </c>
    </row>
    <row r="48" spans="1:4" x14ac:dyDescent="0.25">
      <c r="A48" s="1" t="s">
        <v>2808</v>
      </c>
      <c r="B48" t="s">
        <v>1265</v>
      </c>
      <c r="C48" s="1">
        <v>0.31</v>
      </c>
      <c r="D48" s="1" t="s">
        <v>219</v>
      </c>
    </row>
    <row r="49" spans="1:4" x14ac:dyDescent="0.25">
      <c r="A49" s="1" t="s">
        <v>2808</v>
      </c>
      <c r="B49" t="s">
        <v>1988</v>
      </c>
      <c r="C49" s="1">
        <v>0.31</v>
      </c>
      <c r="D49" s="1" t="s">
        <v>219</v>
      </c>
    </row>
    <row r="50" spans="1:4" x14ac:dyDescent="0.25">
      <c r="A50" s="1" t="s">
        <v>2616</v>
      </c>
      <c r="B50" t="s">
        <v>2672</v>
      </c>
      <c r="C50" s="1">
        <v>0.32</v>
      </c>
      <c r="D50" s="1" t="s">
        <v>219</v>
      </c>
    </row>
    <row r="51" spans="1:4" x14ac:dyDescent="0.25">
      <c r="A51" s="1" t="s">
        <v>633</v>
      </c>
      <c r="B51" t="s">
        <v>209</v>
      </c>
      <c r="C51" s="1">
        <v>0.32</v>
      </c>
      <c r="D51" s="1" t="s">
        <v>219</v>
      </c>
    </row>
    <row r="52" spans="1:4" x14ac:dyDescent="0.25">
      <c r="A52" s="1" t="s">
        <v>2616</v>
      </c>
      <c r="B52" t="s">
        <v>2827</v>
      </c>
      <c r="C52" s="1">
        <v>0.33</v>
      </c>
      <c r="D52" s="1" t="s">
        <v>219</v>
      </c>
    </row>
    <row r="53" spans="1:4" x14ac:dyDescent="0.25">
      <c r="A53" s="1" t="s">
        <v>2616</v>
      </c>
      <c r="B53" t="s">
        <v>1412</v>
      </c>
      <c r="C53" s="1">
        <v>0.34</v>
      </c>
      <c r="D53" s="1" t="s">
        <v>219</v>
      </c>
    </row>
    <row r="54" spans="1:4" x14ac:dyDescent="0.25">
      <c r="A54" s="1" t="s">
        <v>604</v>
      </c>
      <c r="B54" t="s">
        <v>37</v>
      </c>
      <c r="C54" s="1">
        <v>0.34</v>
      </c>
      <c r="D54" s="1" t="s">
        <v>219</v>
      </c>
    </row>
    <row r="55" spans="1:4" x14ac:dyDescent="0.25">
      <c r="A55" s="1" t="s">
        <v>953</v>
      </c>
      <c r="B55" t="s">
        <v>956</v>
      </c>
      <c r="C55" s="1">
        <v>0.34</v>
      </c>
      <c r="D55" s="1" t="s">
        <v>219</v>
      </c>
    </row>
    <row r="56" spans="1:4" x14ac:dyDescent="0.25">
      <c r="A56" s="1" t="s">
        <v>1045</v>
      </c>
      <c r="B56" t="s">
        <v>1074</v>
      </c>
      <c r="C56" s="1">
        <v>0.34</v>
      </c>
      <c r="D56" s="1" t="s">
        <v>219</v>
      </c>
    </row>
    <row r="57" spans="1:4" x14ac:dyDescent="0.25">
      <c r="A57" s="1" t="s">
        <v>2616</v>
      </c>
      <c r="B57" t="s">
        <v>2681</v>
      </c>
      <c r="C57" s="1">
        <v>0.35</v>
      </c>
      <c r="D57" s="1" t="s">
        <v>219</v>
      </c>
    </row>
    <row r="58" spans="1:4" x14ac:dyDescent="0.25">
      <c r="A58" s="1" t="s">
        <v>953</v>
      </c>
      <c r="B58" t="s">
        <v>958</v>
      </c>
      <c r="C58" s="1">
        <v>0.35</v>
      </c>
      <c r="D58" s="1" t="s">
        <v>219</v>
      </c>
    </row>
    <row r="59" spans="1:4" x14ac:dyDescent="0.25">
      <c r="A59" s="1" t="s">
        <v>953</v>
      </c>
      <c r="B59" t="s">
        <v>690</v>
      </c>
      <c r="C59" s="1">
        <v>0.35</v>
      </c>
      <c r="D59" s="1" t="s">
        <v>219</v>
      </c>
    </row>
    <row r="60" spans="1:4" x14ac:dyDescent="0.25">
      <c r="A60" s="1" t="s">
        <v>616</v>
      </c>
      <c r="B60" t="s">
        <v>134</v>
      </c>
      <c r="C60" s="1">
        <v>0.35</v>
      </c>
      <c r="D60" s="1" t="s">
        <v>219</v>
      </c>
    </row>
    <row r="61" spans="1:4" x14ac:dyDescent="0.25">
      <c r="A61" s="1" t="s">
        <v>601</v>
      </c>
      <c r="B61" t="s">
        <v>8</v>
      </c>
      <c r="C61" s="1">
        <v>0.36</v>
      </c>
      <c r="D61" s="1" t="s">
        <v>219</v>
      </c>
    </row>
    <row r="62" spans="1:4" x14ac:dyDescent="0.25">
      <c r="A62" s="1" t="s">
        <v>2616</v>
      </c>
      <c r="B62" t="s">
        <v>1116</v>
      </c>
      <c r="C62" s="1">
        <v>0.36</v>
      </c>
      <c r="D62" s="1" t="s">
        <v>219</v>
      </c>
    </row>
    <row r="63" spans="1:4" x14ac:dyDescent="0.25">
      <c r="A63" s="1" t="s">
        <v>605</v>
      </c>
      <c r="B63" t="s">
        <v>793</v>
      </c>
      <c r="C63" s="1">
        <v>0.36</v>
      </c>
      <c r="D63" s="1" t="s">
        <v>219</v>
      </c>
    </row>
    <row r="64" spans="1:4" x14ac:dyDescent="0.25">
      <c r="A64" s="1" t="s">
        <v>953</v>
      </c>
      <c r="B64" t="s">
        <v>957</v>
      </c>
      <c r="C64" s="1">
        <v>0.36</v>
      </c>
      <c r="D64" s="1" t="s">
        <v>219</v>
      </c>
    </row>
    <row r="65" spans="1:4" x14ac:dyDescent="0.25">
      <c r="A65" s="1" t="s">
        <v>614</v>
      </c>
      <c r="B65" t="s">
        <v>106</v>
      </c>
      <c r="C65" s="1">
        <v>0.36</v>
      </c>
      <c r="D65" s="1" t="s">
        <v>219</v>
      </c>
    </row>
    <row r="66" spans="1:4" x14ac:dyDescent="0.25">
      <c r="A66" s="1" t="s">
        <v>614</v>
      </c>
      <c r="B66" t="s">
        <v>116</v>
      </c>
      <c r="C66" s="1">
        <v>0.36</v>
      </c>
      <c r="D66" s="1" t="s">
        <v>219</v>
      </c>
    </row>
    <row r="67" spans="1:4" x14ac:dyDescent="0.25">
      <c r="A67" s="1" t="s">
        <v>633</v>
      </c>
      <c r="B67" t="s">
        <v>647</v>
      </c>
      <c r="C67" s="1">
        <v>0.36</v>
      </c>
      <c r="D67" s="1" t="s">
        <v>219</v>
      </c>
    </row>
    <row r="68" spans="1:4" x14ac:dyDescent="0.25">
      <c r="A68" s="1" t="s">
        <v>2616</v>
      </c>
      <c r="B68" t="s">
        <v>2627</v>
      </c>
      <c r="C68" s="1">
        <v>0.37</v>
      </c>
      <c r="D68" s="1" t="s">
        <v>219</v>
      </c>
    </row>
    <row r="69" spans="1:4" x14ac:dyDescent="0.25">
      <c r="A69" s="1" t="s">
        <v>2616</v>
      </c>
      <c r="B69" t="s">
        <v>2635</v>
      </c>
      <c r="C69" s="1">
        <v>0.37</v>
      </c>
      <c r="D69" s="1" t="s">
        <v>219</v>
      </c>
    </row>
    <row r="70" spans="1:4" x14ac:dyDescent="0.25">
      <c r="A70" s="1" t="s">
        <v>633</v>
      </c>
      <c r="B70" t="s">
        <v>1155</v>
      </c>
      <c r="C70" s="1">
        <v>0.37</v>
      </c>
      <c r="D70" s="1" t="s">
        <v>219</v>
      </c>
    </row>
    <row r="71" spans="1:4" x14ac:dyDescent="0.25">
      <c r="A71" s="1" t="s">
        <v>2616</v>
      </c>
      <c r="B71" t="s">
        <v>1328</v>
      </c>
      <c r="C71" s="1">
        <v>0.38</v>
      </c>
      <c r="D71" s="1" t="s">
        <v>219</v>
      </c>
    </row>
    <row r="72" spans="1:4" x14ac:dyDescent="0.25">
      <c r="A72" s="1" t="s">
        <v>2616</v>
      </c>
      <c r="B72" t="s">
        <v>2682</v>
      </c>
      <c r="C72" s="1">
        <v>0.38</v>
      </c>
      <c r="D72" s="1" t="s">
        <v>219</v>
      </c>
    </row>
    <row r="73" spans="1:4" x14ac:dyDescent="0.25">
      <c r="A73" s="1" t="s">
        <v>953</v>
      </c>
      <c r="B73" t="s">
        <v>960</v>
      </c>
      <c r="C73" s="1">
        <v>0.38</v>
      </c>
      <c r="D73" s="1" t="s">
        <v>219</v>
      </c>
    </row>
    <row r="74" spans="1:4" x14ac:dyDescent="0.25">
      <c r="A74" s="1" t="s">
        <v>614</v>
      </c>
      <c r="B74" t="s">
        <v>103</v>
      </c>
      <c r="C74" s="1">
        <v>0.38</v>
      </c>
      <c r="D74" s="1" t="s">
        <v>219</v>
      </c>
    </row>
    <row r="75" spans="1:4" x14ac:dyDescent="0.25">
      <c r="A75" s="1" t="s">
        <v>1045</v>
      </c>
      <c r="B75" t="s">
        <v>1061</v>
      </c>
      <c r="C75" s="1">
        <v>0.38</v>
      </c>
      <c r="D75" s="1" t="s">
        <v>219</v>
      </c>
    </row>
    <row r="76" spans="1:4" x14ac:dyDescent="0.25">
      <c r="A76" s="1" t="s">
        <v>2616</v>
      </c>
      <c r="B76" t="s">
        <v>2645</v>
      </c>
      <c r="C76" s="1">
        <v>0.39</v>
      </c>
      <c r="D76" s="1" t="s">
        <v>219</v>
      </c>
    </row>
    <row r="77" spans="1:4" x14ac:dyDescent="0.25">
      <c r="A77" s="1" t="s">
        <v>2616</v>
      </c>
      <c r="B77" t="s">
        <v>2655</v>
      </c>
      <c r="C77" s="1">
        <v>0.39</v>
      </c>
      <c r="D77" s="1" t="s">
        <v>219</v>
      </c>
    </row>
    <row r="78" spans="1:4" x14ac:dyDescent="0.25">
      <c r="A78" s="1" t="s">
        <v>2616</v>
      </c>
      <c r="B78" t="s">
        <v>2659</v>
      </c>
      <c r="C78" s="1">
        <v>0.39</v>
      </c>
      <c r="D78" s="1" t="s">
        <v>219</v>
      </c>
    </row>
    <row r="79" spans="1:4" x14ac:dyDescent="0.25">
      <c r="A79" s="1" t="s">
        <v>2616</v>
      </c>
      <c r="B79" t="s">
        <v>2683</v>
      </c>
      <c r="C79" s="1">
        <v>0.39</v>
      </c>
      <c r="D79" s="1" t="s">
        <v>219</v>
      </c>
    </row>
    <row r="80" spans="1:4" x14ac:dyDescent="0.25">
      <c r="A80" s="1" t="s">
        <v>953</v>
      </c>
      <c r="B80" t="s">
        <v>965</v>
      </c>
      <c r="C80" s="1">
        <v>0.39</v>
      </c>
      <c r="D80" s="1" t="s">
        <v>219</v>
      </c>
    </row>
    <row r="81" spans="1:4" x14ac:dyDescent="0.25">
      <c r="A81" s="1" t="s">
        <v>831</v>
      </c>
      <c r="B81" t="s">
        <v>886</v>
      </c>
      <c r="C81" s="1">
        <v>0.39</v>
      </c>
      <c r="D81" s="1" t="s">
        <v>219</v>
      </c>
    </row>
    <row r="82" spans="1:4" x14ac:dyDescent="0.25">
      <c r="A82" s="1" t="s">
        <v>953</v>
      </c>
      <c r="B82" t="s">
        <v>962</v>
      </c>
      <c r="C82" s="1">
        <v>0.4</v>
      </c>
      <c r="D82" s="1" t="s">
        <v>219</v>
      </c>
    </row>
    <row r="83" spans="1:4" x14ac:dyDescent="0.25">
      <c r="A83" s="1" t="s">
        <v>613</v>
      </c>
      <c r="B83" t="s">
        <v>93</v>
      </c>
      <c r="C83" s="1">
        <v>0.4</v>
      </c>
      <c r="D83" s="1" t="s">
        <v>219</v>
      </c>
    </row>
    <row r="84" spans="1:4" x14ac:dyDescent="0.25">
      <c r="A84" s="1" t="s">
        <v>601</v>
      </c>
      <c r="B84" t="s">
        <v>782</v>
      </c>
      <c r="C84" s="1">
        <v>0.41</v>
      </c>
      <c r="D84" s="1" t="s">
        <v>219</v>
      </c>
    </row>
    <row r="85" spans="1:4" x14ac:dyDescent="0.25">
      <c r="A85" s="1" t="s">
        <v>2616</v>
      </c>
      <c r="B85" t="s">
        <v>2646</v>
      </c>
      <c r="C85" s="1">
        <v>0.41</v>
      </c>
      <c r="D85" s="1" t="s">
        <v>219</v>
      </c>
    </row>
    <row r="86" spans="1:4" x14ac:dyDescent="0.25">
      <c r="A86" s="1" t="s">
        <v>2616</v>
      </c>
      <c r="B86" t="s">
        <v>2653</v>
      </c>
      <c r="C86" s="1">
        <v>0.41</v>
      </c>
      <c r="D86" s="1" t="s">
        <v>219</v>
      </c>
    </row>
    <row r="87" spans="1:4" x14ac:dyDescent="0.25">
      <c r="A87" s="1" t="s">
        <v>602</v>
      </c>
      <c r="B87" t="s">
        <v>24</v>
      </c>
      <c r="C87" s="1">
        <v>0.42</v>
      </c>
      <c r="D87" s="1" t="s">
        <v>219</v>
      </c>
    </row>
    <row r="88" spans="1:4" x14ac:dyDescent="0.25">
      <c r="A88" s="1" t="s">
        <v>1045</v>
      </c>
      <c r="B88" t="s">
        <v>2706</v>
      </c>
      <c r="C88" s="1">
        <v>0.42</v>
      </c>
      <c r="D88" s="1" t="s">
        <v>219</v>
      </c>
    </row>
    <row r="89" spans="1:4" x14ac:dyDescent="0.25">
      <c r="A89" s="1" t="s">
        <v>2616</v>
      </c>
      <c r="B89" t="s">
        <v>2640</v>
      </c>
      <c r="C89" s="1">
        <v>0.43</v>
      </c>
      <c r="D89" s="1" t="s">
        <v>219</v>
      </c>
    </row>
    <row r="90" spans="1:4" x14ac:dyDescent="0.25">
      <c r="A90" s="1" t="s">
        <v>953</v>
      </c>
      <c r="B90" t="s">
        <v>954</v>
      </c>
      <c r="C90" s="1">
        <v>0.43</v>
      </c>
      <c r="D90" s="1" t="s">
        <v>219</v>
      </c>
    </row>
    <row r="91" spans="1:4" x14ac:dyDescent="0.25">
      <c r="A91" s="1" t="s">
        <v>1045</v>
      </c>
      <c r="B91" t="s">
        <v>918</v>
      </c>
      <c r="C91" s="1">
        <v>0.43</v>
      </c>
      <c r="D91" s="1" t="s">
        <v>219</v>
      </c>
    </row>
    <row r="92" spans="1:4" x14ac:dyDescent="0.25">
      <c r="A92" s="1" t="s">
        <v>620</v>
      </c>
      <c r="B92" t="s">
        <v>156</v>
      </c>
      <c r="C92" s="1">
        <v>0.43</v>
      </c>
      <c r="D92" s="1" t="s">
        <v>219</v>
      </c>
    </row>
    <row r="93" spans="1:4" x14ac:dyDescent="0.25">
      <c r="A93" s="1" t="s">
        <v>622</v>
      </c>
      <c r="B93" t="s">
        <v>2770</v>
      </c>
      <c r="C93" s="1">
        <v>0.43</v>
      </c>
      <c r="D93" s="1" t="s">
        <v>219</v>
      </c>
    </row>
    <row r="94" spans="1:4" x14ac:dyDescent="0.25">
      <c r="A94" s="1" t="s">
        <v>953</v>
      </c>
      <c r="B94" t="s">
        <v>959</v>
      </c>
      <c r="C94" s="1">
        <v>0.44</v>
      </c>
      <c r="D94" s="1" t="s">
        <v>219</v>
      </c>
    </row>
    <row r="95" spans="1:4" x14ac:dyDescent="0.25">
      <c r="A95" s="1" t="s">
        <v>953</v>
      </c>
      <c r="B95" t="s">
        <v>955</v>
      </c>
      <c r="C95" s="1">
        <v>0.45</v>
      </c>
      <c r="D95" s="1" t="s">
        <v>219</v>
      </c>
    </row>
    <row r="96" spans="1:4" x14ac:dyDescent="0.25">
      <c r="A96" s="1" t="s">
        <v>633</v>
      </c>
      <c r="B96" t="s">
        <v>210</v>
      </c>
      <c r="C96" s="1">
        <v>0.45</v>
      </c>
      <c r="D96" s="1" t="s">
        <v>219</v>
      </c>
    </row>
    <row r="97" spans="1:4" x14ac:dyDescent="0.25">
      <c r="A97" s="1" t="s">
        <v>603</v>
      </c>
      <c r="B97" t="s">
        <v>2624</v>
      </c>
      <c r="C97" s="1">
        <v>0.46</v>
      </c>
      <c r="D97" s="1" t="s">
        <v>219</v>
      </c>
    </row>
    <row r="98" spans="1:4" x14ac:dyDescent="0.25">
      <c r="A98" s="1" t="s">
        <v>605</v>
      </c>
      <c r="B98" t="s">
        <v>39</v>
      </c>
      <c r="C98" s="1">
        <v>0.46</v>
      </c>
      <c r="D98" s="1" t="s">
        <v>219</v>
      </c>
    </row>
    <row r="99" spans="1:4" x14ac:dyDescent="0.25">
      <c r="A99" s="1" t="s">
        <v>953</v>
      </c>
      <c r="B99" t="s">
        <v>977</v>
      </c>
      <c r="C99" s="1">
        <v>0.46</v>
      </c>
      <c r="D99" s="1" t="s">
        <v>219</v>
      </c>
    </row>
    <row r="100" spans="1:4" x14ac:dyDescent="0.25">
      <c r="A100" s="1" t="s">
        <v>915</v>
      </c>
      <c r="B100" t="s">
        <v>6</v>
      </c>
      <c r="C100" s="1">
        <v>0.48</v>
      </c>
      <c r="D100" s="1" t="s">
        <v>219</v>
      </c>
    </row>
    <row r="101" spans="1:4" x14ac:dyDescent="0.25">
      <c r="A101" s="1" t="s">
        <v>915</v>
      </c>
      <c r="B101" t="s">
        <v>937</v>
      </c>
      <c r="C101" s="1">
        <v>0.48</v>
      </c>
      <c r="D101" s="1" t="s">
        <v>219</v>
      </c>
    </row>
    <row r="102" spans="1:4" x14ac:dyDescent="0.25">
      <c r="A102" s="1" t="s">
        <v>601</v>
      </c>
      <c r="B102" t="s">
        <v>15</v>
      </c>
      <c r="C102" s="1">
        <v>0.49</v>
      </c>
      <c r="D102" s="1" t="s">
        <v>219</v>
      </c>
    </row>
    <row r="103" spans="1:4" x14ac:dyDescent="0.25">
      <c r="A103" s="1" t="s">
        <v>613</v>
      </c>
      <c r="B103" t="s">
        <v>94</v>
      </c>
      <c r="C103" s="1">
        <v>0.5</v>
      </c>
      <c r="D103" s="1" t="s">
        <v>219</v>
      </c>
    </row>
    <row r="104" spans="1:4" x14ac:dyDescent="0.25">
      <c r="A104" s="1" t="s">
        <v>617</v>
      </c>
      <c r="B104" t="s">
        <v>2761</v>
      </c>
      <c r="C104" s="1">
        <v>0.5</v>
      </c>
      <c r="D104" s="1" t="s">
        <v>219</v>
      </c>
    </row>
    <row r="105" spans="1:4" x14ac:dyDescent="0.25">
      <c r="A105" s="1" t="s">
        <v>915</v>
      </c>
      <c r="B105" t="s">
        <v>1030</v>
      </c>
      <c r="C105" s="1">
        <v>0.5</v>
      </c>
      <c r="D105" s="1" t="s">
        <v>219</v>
      </c>
    </row>
    <row r="106" spans="1:4" x14ac:dyDescent="0.25">
      <c r="A106" s="1" t="s">
        <v>614</v>
      </c>
      <c r="B106" t="s">
        <v>56</v>
      </c>
      <c r="C106" s="1">
        <v>0.53</v>
      </c>
      <c r="D106" s="1" t="s">
        <v>219</v>
      </c>
    </row>
    <row r="107" spans="1:4" x14ac:dyDescent="0.25">
      <c r="A107" s="1" t="s">
        <v>610</v>
      </c>
      <c r="B107" t="s">
        <v>797</v>
      </c>
      <c r="C107" s="1">
        <v>0.54</v>
      </c>
      <c r="D107" s="1" t="s">
        <v>219</v>
      </c>
    </row>
    <row r="108" spans="1:4" x14ac:dyDescent="0.25">
      <c r="A108" s="1" t="s">
        <v>614</v>
      </c>
      <c r="B108" t="s">
        <v>102</v>
      </c>
      <c r="C108" s="1">
        <v>0.54</v>
      </c>
      <c r="D108" s="1" t="s">
        <v>219</v>
      </c>
    </row>
    <row r="109" spans="1:4" x14ac:dyDescent="0.25">
      <c r="A109" s="1" t="s">
        <v>2616</v>
      </c>
      <c r="B109" t="s">
        <v>2639</v>
      </c>
      <c r="C109" s="1">
        <v>0.56000000000000005</v>
      </c>
      <c r="D109" s="1" t="s">
        <v>219</v>
      </c>
    </row>
    <row r="110" spans="1:4" x14ac:dyDescent="0.25">
      <c r="A110" s="1" t="s">
        <v>628</v>
      </c>
      <c r="B110" t="s">
        <v>1007</v>
      </c>
      <c r="C110" s="1">
        <v>0.56000000000000005</v>
      </c>
      <c r="D110" s="1" t="s">
        <v>219</v>
      </c>
    </row>
    <row r="111" spans="1:4" x14ac:dyDescent="0.25">
      <c r="A111" s="1" t="s">
        <v>915</v>
      </c>
      <c r="B111" t="s">
        <v>923</v>
      </c>
      <c r="C111" s="1">
        <v>0.61</v>
      </c>
      <c r="D111" s="1" t="s">
        <v>219</v>
      </c>
    </row>
    <row r="112" spans="1:4" x14ac:dyDescent="0.25">
      <c r="A112" s="1" t="s">
        <v>633</v>
      </c>
      <c r="B112" t="s">
        <v>208</v>
      </c>
      <c r="C112" s="1">
        <v>0.66</v>
      </c>
      <c r="D112" s="1" t="s">
        <v>219</v>
      </c>
    </row>
    <row r="113" spans="1:4" x14ac:dyDescent="0.25">
      <c r="A113" s="1" t="s">
        <v>1045</v>
      </c>
      <c r="B113" t="s">
        <v>457</v>
      </c>
      <c r="C113" s="1">
        <v>0.67</v>
      </c>
      <c r="D113" s="1" t="s">
        <v>219</v>
      </c>
    </row>
    <row r="114" spans="1:4" x14ac:dyDescent="0.25">
      <c r="A114" s="1" t="s">
        <v>603</v>
      </c>
      <c r="B114" t="s">
        <v>34</v>
      </c>
      <c r="C114" s="1">
        <v>0.73</v>
      </c>
      <c r="D114" s="1" t="s">
        <v>219</v>
      </c>
    </row>
    <row r="115" spans="1:4" x14ac:dyDescent="0.25">
      <c r="A115" s="1" t="s">
        <v>953</v>
      </c>
      <c r="B115" t="s">
        <v>981</v>
      </c>
      <c r="C115" s="1">
        <v>0.76</v>
      </c>
      <c r="D115" s="1" t="s">
        <v>219</v>
      </c>
    </row>
    <row r="116" spans="1:4" x14ac:dyDescent="0.25">
      <c r="A116" s="1" t="s">
        <v>610</v>
      </c>
      <c r="B116" t="s">
        <v>798</v>
      </c>
      <c r="C116" s="1">
        <v>0.79</v>
      </c>
      <c r="D116" s="1" t="s">
        <v>219</v>
      </c>
    </row>
    <row r="117" spans="1:4" x14ac:dyDescent="0.25">
      <c r="A117" s="1" t="s">
        <v>616</v>
      </c>
      <c r="B117" t="s">
        <v>143</v>
      </c>
      <c r="C117" s="1">
        <v>0.83</v>
      </c>
      <c r="D117" s="1" t="s">
        <v>219</v>
      </c>
    </row>
    <row r="118" spans="1:4" x14ac:dyDescent="0.25">
      <c r="A118" s="1" t="s">
        <v>2616</v>
      </c>
      <c r="B118" t="s">
        <v>2636</v>
      </c>
      <c r="C118" s="1">
        <v>0.87</v>
      </c>
      <c r="D118" s="1" t="s">
        <v>219</v>
      </c>
    </row>
    <row r="119" spans="1:4" x14ac:dyDescent="0.25">
      <c r="A119" s="1" t="s">
        <v>2808</v>
      </c>
      <c r="B119" t="s">
        <v>2688</v>
      </c>
      <c r="C119" s="1">
        <v>0.9</v>
      </c>
      <c r="D119" s="1" t="s">
        <v>219</v>
      </c>
    </row>
    <row r="120" spans="1:4" x14ac:dyDescent="0.25">
      <c r="A120" s="1" t="s">
        <v>2808</v>
      </c>
      <c r="B120" t="s">
        <v>2814</v>
      </c>
      <c r="C120" s="1">
        <v>0.91</v>
      </c>
      <c r="D120" s="1" t="s">
        <v>219</v>
      </c>
    </row>
    <row r="121" spans="1:4" x14ac:dyDescent="0.25">
      <c r="A121" s="1" t="s">
        <v>601</v>
      </c>
      <c r="B121" t="s">
        <v>2733</v>
      </c>
      <c r="C121" s="1">
        <v>0.93</v>
      </c>
      <c r="D121" s="1" t="s">
        <v>219</v>
      </c>
    </row>
    <row r="122" spans="1:4" x14ac:dyDescent="0.25">
      <c r="A122" s="1" t="s">
        <v>610</v>
      </c>
      <c r="B122" t="s">
        <v>804</v>
      </c>
      <c r="C122" s="1">
        <v>0.95</v>
      </c>
      <c r="D122" s="1" t="s">
        <v>219</v>
      </c>
    </row>
    <row r="123" spans="1:4" x14ac:dyDescent="0.25">
      <c r="A123" s="1" t="s">
        <v>601</v>
      </c>
      <c r="B123" t="s">
        <v>4</v>
      </c>
      <c r="C123" s="1">
        <v>0.96</v>
      </c>
      <c r="D123" s="1" t="s">
        <v>219</v>
      </c>
    </row>
    <row r="124" spans="1:4" x14ac:dyDescent="0.25">
      <c r="A124" s="1" t="s">
        <v>614</v>
      </c>
      <c r="B124" t="s">
        <v>101</v>
      </c>
      <c r="C124" s="1">
        <v>0.97</v>
      </c>
      <c r="D124" s="1" t="s">
        <v>219</v>
      </c>
    </row>
    <row r="125" spans="1:4" x14ac:dyDescent="0.25">
      <c r="A125" s="1" t="s">
        <v>2808</v>
      </c>
      <c r="B125" t="s">
        <v>121</v>
      </c>
      <c r="C125" s="1">
        <v>0.99</v>
      </c>
      <c r="D125" s="1" t="s">
        <v>219</v>
      </c>
    </row>
    <row r="126" spans="1:4" x14ac:dyDescent="0.25">
      <c r="A126" s="1" t="s">
        <v>632</v>
      </c>
      <c r="B126" t="s">
        <v>203</v>
      </c>
      <c r="C126" s="1">
        <v>1</v>
      </c>
      <c r="D126" s="1" t="s">
        <v>219</v>
      </c>
    </row>
    <row r="127" spans="1:4" x14ac:dyDescent="0.25">
      <c r="A127" s="1" t="s">
        <v>627</v>
      </c>
      <c r="B127" t="s">
        <v>119</v>
      </c>
      <c r="C127" s="1">
        <v>1.02</v>
      </c>
      <c r="D127" s="1" t="s">
        <v>217</v>
      </c>
    </row>
    <row r="128" spans="1:4" x14ac:dyDescent="0.25">
      <c r="A128" s="1" t="s">
        <v>610</v>
      </c>
      <c r="B128" t="s">
        <v>799</v>
      </c>
      <c r="C128" s="1">
        <v>1.03</v>
      </c>
      <c r="D128" s="1" t="s">
        <v>217</v>
      </c>
    </row>
    <row r="129" spans="1:4" x14ac:dyDescent="0.25">
      <c r="A129" s="1" t="s">
        <v>1045</v>
      </c>
      <c r="B129" t="s">
        <v>1077</v>
      </c>
      <c r="C129" s="1">
        <v>1.05</v>
      </c>
      <c r="D129" s="1" t="s">
        <v>217</v>
      </c>
    </row>
    <row r="130" spans="1:4" x14ac:dyDescent="0.25">
      <c r="A130" s="1" t="s">
        <v>953</v>
      </c>
      <c r="B130" t="s">
        <v>986</v>
      </c>
      <c r="C130" s="1">
        <v>1.08</v>
      </c>
      <c r="D130" s="1" t="s">
        <v>217</v>
      </c>
    </row>
    <row r="131" spans="1:4" x14ac:dyDescent="0.25">
      <c r="A131" s="1" t="s">
        <v>610</v>
      </c>
      <c r="B131" t="s">
        <v>802</v>
      </c>
      <c r="C131" s="1">
        <v>1.1000000000000001</v>
      </c>
      <c r="D131" s="1" t="s">
        <v>217</v>
      </c>
    </row>
    <row r="132" spans="1:4" x14ac:dyDescent="0.25">
      <c r="A132" s="1" t="s">
        <v>610</v>
      </c>
      <c r="B132" t="s">
        <v>890</v>
      </c>
      <c r="C132" s="1">
        <v>1.1100000000000001</v>
      </c>
      <c r="D132" s="1" t="s">
        <v>217</v>
      </c>
    </row>
    <row r="133" spans="1:4" x14ac:dyDescent="0.25">
      <c r="A133" s="1" t="s">
        <v>614</v>
      </c>
      <c r="B133" t="s">
        <v>901</v>
      </c>
      <c r="C133" s="1">
        <v>1.1100000000000001</v>
      </c>
      <c r="D133" s="1" t="s">
        <v>217</v>
      </c>
    </row>
    <row r="134" spans="1:4" x14ac:dyDescent="0.25">
      <c r="A134" s="1" t="s">
        <v>2616</v>
      </c>
      <c r="B134" t="s">
        <v>2638</v>
      </c>
      <c r="C134" s="1">
        <v>1.1299999999999999</v>
      </c>
      <c r="D134" s="1" t="s">
        <v>217</v>
      </c>
    </row>
    <row r="135" spans="1:4" x14ac:dyDescent="0.25">
      <c r="A135" s="1" t="s">
        <v>615</v>
      </c>
      <c r="B135" t="s">
        <v>2750</v>
      </c>
      <c r="C135" s="1">
        <v>1.19</v>
      </c>
      <c r="D135" s="1" t="s">
        <v>217</v>
      </c>
    </row>
    <row r="136" spans="1:4" x14ac:dyDescent="0.25">
      <c r="A136" s="1" t="s">
        <v>915</v>
      </c>
      <c r="B136" t="s">
        <v>930</v>
      </c>
      <c r="C136" s="1">
        <v>1.2</v>
      </c>
      <c r="D136" s="1" t="s">
        <v>217</v>
      </c>
    </row>
    <row r="137" spans="1:4" x14ac:dyDescent="0.25">
      <c r="A137" s="1" t="s">
        <v>614</v>
      </c>
      <c r="B137" t="s">
        <v>894</v>
      </c>
      <c r="C137" s="1">
        <v>1.21</v>
      </c>
      <c r="D137" s="1" t="s">
        <v>217</v>
      </c>
    </row>
    <row r="138" spans="1:4" x14ac:dyDescent="0.25">
      <c r="A138" s="1" t="s">
        <v>915</v>
      </c>
      <c r="B138" t="s">
        <v>925</v>
      </c>
      <c r="C138" s="1">
        <v>1.21</v>
      </c>
      <c r="D138" s="1" t="s">
        <v>217</v>
      </c>
    </row>
    <row r="139" spans="1:4" x14ac:dyDescent="0.25">
      <c r="A139" s="1" t="s">
        <v>953</v>
      </c>
      <c r="B139" t="s">
        <v>961</v>
      </c>
      <c r="C139" s="1">
        <v>1.22</v>
      </c>
      <c r="D139" s="1" t="s">
        <v>217</v>
      </c>
    </row>
    <row r="140" spans="1:4" x14ac:dyDescent="0.25">
      <c r="A140" s="1" t="s">
        <v>953</v>
      </c>
      <c r="B140" t="s">
        <v>989</v>
      </c>
      <c r="C140" s="1">
        <v>1.33</v>
      </c>
      <c r="D140" s="1" t="s">
        <v>217</v>
      </c>
    </row>
    <row r="141" spans="1:4" x14ac:dyDescent="0.25">
      <c r="A141" s="1" t="s">
        <v>953</v>
      </c>
      <c r="B141" t="s">
        <v>987</v>
      </c>
      <c r="C141" s="1">
        <v>1.34</v>
      </c>
      <c r="D141" s="1" t="s">
        <v>217</v>
      </c>
    </row>
    <row r="142" spans="1:4" x14ac:dyDescent="0.25">
      <c r="A142" s="1" t="s">
        <v>627</v>
      </c>
      <c r="B142" t="s">
        <v>2776</v>
      </c>
      <c r="C142" s="1">
        <v>1.34</v>
      </c>
      <c r="D142" s="1" t="s">
        <v>217</v>
      </c>
    </row>
    <row r="143" spans="1:4" x14ac:dyDescent="0.25">
      <c r="A143" s="1" t="s">
        <v>611</v>
      </c>
      <c r="B143" t="s">
        <v>83</v>
      </c>
      <c r="C143" s="1">
        <v>1.36</v>
      </c>
      <c r="D143" s="1" t="s">
        <v>217</v>
      </c>
    </row>
    <row r="144" spans="1:4" x14ac:dyDescent="0.25">
      <c r="A144" s="1" t="s">
        <v>628</v>
      </c>
      <c r="B144" t="s">
        <v>180</v>
      </c>
      <c r="C144" s="1">
        <v>1.37</v>
      </c>
      <c r="D144" s="1" t="s">
        <v>217</v>
      </c>
    </row>
    <row r="145" spans="1:4" x14ac:dyDescent="0.25">
      <c r="A145" s="1" t="s">
        <v>632</v>
      </c>
      <c r="B145" t="s">
        <v>2758</v>
      </c>
      <c r="C145" s="1">
        <v>1.37</v>
      </c>
      <c r="D145" s="1" t="s">
        <v>217</v>
      </c>
    </row>
    <row r="146" spans="1:4" x14ac:dyDescent="0.25">
      <c r="A146" s="1" t="s">
        <v>603</v>
      </c>
      <c r="B146" t="s">
        <v>2626</v>
      </c>
      <c r="C146" s="1">
        <v>1.42</v>
      </c>
      <c r="D146" s="1" t="s">
        <v>217</v>
      </c>
    </row>
    <row r="147" spans="1:4" x14ac:dyDescent="0.25">
      <c r="A147" s="1" t="s">
        <v>602</v>
      </c>
      <c r="B147" t="s">
        <v>31</v>
      </c>
      <c r="C147" s="1">
        <v>1.57</v>
      </c>
      <c r="D147" s="1" t="s">
        <v>217</v>
      </c>
    </row>
    <row r="148" spans="1:4" x14ac:dyDescent="0.25">
      <c r="A148" s="1" t="s">
        <v>2616</v>
      </c>
      <c r="B148" t="s">
        <v>2650</v>
      </c>
      <c r="C148" s="1">
        <v>1.57</v>
      </c>
      <c r="D148" s="1" t="s">
        <v>217</v>
      </c>
    </row>
    <row r="149" spans="1:4" x14ac:dyDescent="0.25">
      <c r="A149" s="1" t="s">
        <v>831</v>
      </c>
      <c r="B149" t="s">
        <v>884</v>
      </c>
      <c r="C149" s="1">
        <v>1.6</v>
      </c>
      <c r="D149" s="1" t="s">
        <v>217</v>
      </c>
    </row>
    <row r="150" spans="1:4" x14ac:dyDescent="0.25">
      <c r="A150" s="1" t="s">
        <v>2808</v>
      </c>
      <c r="B150" t="s">
        <v>1708</v>
      </c>
      <c r="C150" s="1">
        <v>1.61</v>
      </c>
      <c r="D150" s="1" t="s">
        <v>217</v>
      </c>
    </row>
    <row r="151" spans="1:4" x14ac:dyDescent="0.25">
      <c r="A151" s="1" t="s">
        <v>1045</v>
      </c>
      <c r="B151" t="s">
        <v>940</v>
      </c>
      <c r="C151" s="1">
        <v>1.64</v>
      </c>
      <c r="D151" s="1" t="s">
        <v>217</v>
      </c>
    </row>
    <row r="152" spans="1:4" x14ac:dyDescent="0.25">
      <c r="A152" s="1" t="s">
        <v>630</v>
      </c>
      <c r="B152" t="s">
        <v>198</v>
      </c>
      <c r="C152" s="1">
        <v>1.74</v>
      </c>
      <c r="D152" s="1" t="s">
        <v>217</v>
      </c>
    </row>
    <row r="153" spans="1:4" x14ac:dyDescent="0.25">
      <c r="A153" s="1" t="s">
        <v>605</v>
      </c>
      <c r="B153" t="s">
        <v>40</v>
      </c>
      <c r="C153" s="1">
        <v>1.75</v>
      </c>
      <c r="D153" s="1" t="s">
        <v>217</v>
      </c>
    </row>
    <row r="154" spans="1:4" x14ac:dyDescent="0.25">
      <c r="A154" s="1" t="s">
        <v>2616</v>
      </c>
      <c r="B154" t="s">
        <v>2637</v>
      </c>
      <c r="C154" s="1">
        <v>1.79</v>
      </c>
      <c r="D154" s="1" t="s">
        <v>217</v>
      </c>
    </row>
    <row r="155" spans="1:4" x14ac:dyDescent="0.25">
      <c r="A155" s="1" t="s">
        <v>605</v>
      </c>
      <c r="B155" t="s">
        <v>52</v>
      </c>
      <c r="C155" s="1">
        <v>1.79</v>
      </c>
      <c r="D155" s="1" t="s">
        <v>217</v>
      </c>
    </row>
    <row r="156" spans="1:4" x14ac:dyDescent="0.25">
      <c r="A156" s="1" t="s">
        <v>953</v>
      </c>
      <c r="B156" t="s">
        <v>970</v>
      </c>
      <c r="C156" s="1">
        <v>1.79</v>
      </c>
      <c r="D156" s="1" t="s">
        <v>217</v>
      </c>
    </row>
    <row r="157" spans="1:4" x14ac:dyDescent="0.25">
      <c r="A157" s="1" t="s">
        <v>2616</v>
      </c>
      <c r="B157" t="s">
        <v>2678</v>
      </c>
      <c r="C157" s="1">
        <v>1.83</v>
      </c>
      <c r="D157" s="1" t="s">
        <v>217</v>
      </c>
    </row>
    <row r="158" spans="1:4" x14ac:dyDescent="0.25">
      <c r="A158" s="1" t="s">
        <v>1045</v>
      </c>
      <c r="B158" t="s">
        <v>1052</v>
      </c>
      <c r="C158" s="1">
        <v>1.85</v>
      </c>
      <c r="D158" s="1" t="s">
        <v>217</v>
      </c>
    </row>
    <row r="159" spans="1:4" x14ac:dyDescent="0.25">
      <c r="A159" s="1" t="s">
        <v>619</v>
      </c>
      <c r="B159" t="s">
        <v>152</v>
      </c>
      <c r="C159" s="1">
        <v>1.88</v>
      </c>
      <c r="D159" s="1" t="s">
        <v>217</v>
      </c>
    </row>
    <row r="160" spans="1:4" x14ac:dyDescent="0.25">
      <c r="A160" s="1" t="s">
        <v>627</v>
      </c>
      <c r="B160" t="s">
        <v>2775</v>
      </c>
      <c r="C160" s="1">
        <v>1.92</v>
      </c>
      <c r="D160" s="1" t="s">
        <v>217</v>
      </c>
    </row>
    <row r="161" spans="1:4" x14ac:dyDescent="0.25">
      <c r="A161" s="1" t="s">
        <v>633</v>
      </c>
      <c r="B161" t="s">
        <v>651</v>
      </c>
      <c r="C161" s="1">
        <v>1.96</v>
      </c>
      <c r="D161" s="1" t="s">
        <v>217</v>
      </c>
    </row>
    <row r="162" spans="1:4" x14ac:dyDescent="0.25">
      <c r="A162" s="1" t="s">
        <v>623</v>
      </c>
      <c r="B162" t="s">
        <v>113</v>
      </c>
      <c r="C162" s="1">
        <v>1.99</v>
      </c>
      <c r="D162" s="1" t="s">
        <v>217</v>
      </c>
    </row>
    <row r="163" spans="1:4" x14ac:dyDescent="0.25">
      <c r="A163" s="1" t="s">
        <v>610</v>
      </c>
      <c r="B163" t="s">
        <v>806</v>
      </c>
      <c r="C163" s="1">
        <v>2</v>
      </c>
      <c r="D163" s="1" t="s">
        <v>217</v>
      </c>
    </row>
    <row r="164" spans="1:4" x14ac:dyDescent="0.25">
      <c r="A164" s="1" t="s">
        <v>616</v>
      </c>
      <c r="B164" t="s">
        <v>2757</v>
      </c>
      <c r="C164" s="1">
        <v>2.02</v>
      </c>
      <c r="D164" s="1" t="s">
        <v>217</v>
      </c>
    </row>
    <row r="165" spans="1:4" x14ac:dyDescent="0.25">
      <c r="A165" s="1" t="s">
        <v>915</v>
      </c>
      <c r="B165" t="s">
        <v>922</v>
      </c>
      <c r="C165" s="1">
        <v>2.0699999999999998</v>
      </c>
      <c r="D165" s="1" t="s">
        <v>217</v>
      </c>
    </row>
    <row r="166" spans="1:4" x14ac:dyDescent="0.25">
      <c r="A166" s="1" t="s">
        <v>610</v>
      </c>
      <c r="B166" t="s">
        <v>805</v>
      </c>
      <c r="C166" s="1">
        <v>2.09</v>
      </c>
      <c r="D166" s="1" t="s">
        <v>217</v>
      </c>
    </row>
    <row r="167" spans="1:4" x14ac:dyDescent="0.25">
      <c r="A167" s="1" t="s">
        <v>633</v>
      </c>
      <c r="B167" t="s">
        <v>153</v>
      </c>
      <c r="C167" s="1">
        <v>2.11</v>
      </c>
      <c r="D167" s="1" t="s">
        <v>217</v>
      </c>
    </row>
    <row r="168" spans="1:4" x14ac:dyDescent="0.25">
      <c r="A168" s="1" t="s">
        <v>622</v>
      </c>
      <c r="B168" t="s">
        <v>160</v>
      </c>
      <c r="C168" s="1">
        <v>2.12</v>
      </c>
      <c r="D168" s="1" t="s">
        <v>217</v>
      </c>
    </row>
    <row r="169" spans="1:4" x14ac:dyDescent="0.25">
      <c r="A169" s="1" t="s">
        <v>1045</v>
      </c>
      <c r="B169" t="s">
        <v>1047</v>
      </c>
      <c r="C169" s="1">
        <v>2.15</v>
      </c>
      <c r="D169" s="1" t="s">
        <v>217</v>
      </c>
    </row>
    <row r="170" spans="1:4" x14ac:dyDescent="0.25">
      <c r="A170" s="1" t="s">
        <v>953</v>
      </c>
      <c r="B170" t="s">
        <v>973</v>
      </c>
      <c r="C170" s="1">
        <v>2.19</v>
      </c>
      <c r="D170" s="1" t="s">
        <v>217</v>
      </c>
    </row>
    <row r="171" spans="1:4" x14ac:dyDescent="0.25">
      <c r="A171" s="1" t="s">
        <v>629</v>
      </c>
      <c r="B171" t="s">
        <v>191</v>
      </c>
      <c r="C171" s="1">
        <v>2.19</v>
      </c>
      <c r="D171" s="1" t="s">
        <v>217</v>
      </c>
    </row>
    <row r="172" spans="1:4" x14ac:dyDescent="0.25">
      <c r="A172" s="1" t="s">
        <v>605</v>
      </c>
      <c r="B172" t="s">
        <v>53</v>
      </c>
      <c r="C172" s="1">
        <v>2.2599999999999998</v>
      </c>
      <c r="D172" s="1" t="s">
        <v>217</v>
      </c>
    </row>
    <row r="173" spans="1:4" x14ac:dyDescent="0.25">
      <c r="A173" s="1" t="s">
        <v>629</v>
      </c>
      <c r="B173" t="s">
        <v>185</v>
      </c>
      <c r="C173" s="1">
        <v>2.27</v>
      </c>
      <c r="D173" s="1" t="s">
        <v>217</v>
      </c>
    </row>
    <row r="174" spans="1:4" x14ac:dyDescent="0.25">
      <c r="A174" s="1" t="s">
        <v>2808</v>
      </c>
      <c r="B174" t="s">
        <v>187</v>
      </c>
      <c r="C174" s="1">
        <v>2.29</v>
      </c>
      <c r="D174" s="1" t="s">
        <v>217</v>
      </c>
    </row>
    <row r="175" spans="1:4" x14ac:dyDescent="0.25">
      <c r="A175" s="1" t="s">
        <v>616</v>
      </c>
      <c r="B175" t="s">
        <v>138</v>
      </c>
      <c r="C175" s="1">
        <v>2.35</v>
      </c>
      <c r="D175" s="1" t="s">
        <v>217</v>
      </c>
    </row>
    <row r="176" spans="1:4" x14ac:dyDescent="0.25">
      <c r="A176" s="1" t="s">
        <v>616</v>
      </c>
      <c r="B176" t="s">
        <v>133</v>
      </c>
      <c r="C176" s="1">
        <v>2.4</v>
      </c>
      <c r="D176" s="1" t="s">
        <v>217</v>
      </c>
    </row>
    <row r="177" spans="1:4" x14ac:dyDescent="0.25">
      <c r="A177" s="1" t="s">
        <v>627</v>
      </c>
      <c r="B177" t="s">
        <v>118</v>
      </c>
      <c r="C177" s="1">
        <v>2.4</v>
      </c>
      <c r="D177" s="1" t="s">
        <v>217</v>
      </c>
    </row>
    <row r="178" spans="1:4" x14ac:dyDescent="0.25">
      <c r="A178" s="1" t="s">
        <v>2616</v>
      </c>
      <c r="B178" t="s">
        <v>2643</v>
      </c>
      <c r="C178" s="1">
        <v>2.5099999999999998</v>
      </c>
      <c r="D178" s="1" t="s">
        <v>217</v>
      </c>
    </row>
    <row r="179" spans="1:4" x14ac:dyDescent="0.25">
      <c r="A179" s="1" t="s">
        <v>915</v>
      </c>
      <c r="B179" t="s">
        <v>13</v>
      </c>
      <c r="C179" s="1">
        <v>2.5299999999999998</v>
      </c>
      <c r="D179" s="1" t="s">
        <v>217</v>
      </c>
    </row>
    <row r="180" spans="1:4" x14ac:dyDescent="0.25">
      <c r="A180" s="1" t="s">
        <v>623</v>
      </c>
      <c r="B180" t="s">
        <v>165</v>
      </c>
      <c r="C180" s="1">
        <v>2.54</v>
      </c>
      <c r="D180" s="1" t="s">
        <v>217</v>
      </c>
    </row>
    <row r="181" spans="1:4" x14ac:dyDescent="0.25">
      <c r="A181" s="1" t="s">
        <v>953</v>
      </c>
      <c r="B181" t="s">
        <v>963</v>
      </c>
      <c r="C181" s="1">
        <v>2.56</v>
      </c>
      <c r="D181" s="1" t="s">
        <v>217</v>
      </c>
    </row>
    <row r="182" spans="1:4" x14ac:dyDescent="0.25">
      <c r="A182" s="1" t="s">
        <v>614</v>
      </c>
      <c r="B182" t="s">
        <v>110</v>
      </c>
      <c r="C182" s="1">
        <v>2.63</v>
      </c>
      <c r="D182" s="1" t="s">
        <v>217</v>
      </c>
    </row>
    <row r="183" spans="1:4" x14ac:dyDescent="0.25">
      <c r="A183" s="1" t="s">
        <v>2808</v>
      </c>
      <c r="B183" t="s">
        <v>2812</v>
      </c>
      <c r="C183" s="1">
        <v>2.66</v>
      </c>
      <c r="D183" s="1" t="s">
        <v>217</v>
      </c>
    </row>
    <row r="184" spans="1:4" x14ac:dyDescent="0.25">
      <c r="A184" s="1" t="s">
        <v>623</v>
      </c>
      <c r="B184" t="s">
        <v>170</v>
      </c>
      <c r="C184" s="1">
        <v>2.68</v>
      </c>
      <c r="D184" s="1" t="s">
        <v>217</v>
      </c>
    </row>
    <row r="185" spans="1:4" x14ac:dyDescent="0.25">
      <c r="A185" s="1" t="s">
        <v>623</v>
      </c>
      <c r="B185" t="s">
        <v>171</v>
      </c>
      <c r="C185" s="1">
        <v>2.7</v>
      </c>
      <c r="D185" s="1" t="s">
        <v>217</v>
      </c>
    </row>
    <row r="186" spans="1:4" x14ac:dyDescent="0.25">
      <c r="A186" s="1" t="s">
        <v>953</v>
      </c>
      <c r="B186" t="s">
        <v>983</v>
      </c>
      <c r="C186" s="1">
        <v>2.76</v>
      </c>
      <c r="D186" s="1" t="s">
        <v>217</v>
      </c>
    </row>
    <row r="187" spans="1:4" x14ac:dyDescent="0.25">
      <c r="A187" s="1" t="s">
        <v>2616</v>
      </c>
      <c r="B187" t="s">
        <v>2679</v>
      </c>
      <c r="C187" s="1">
        <v>2.88</v>
      </c>
      <c r="D187" s="1" t="s">
        <v>217</v>
      </c>
    </row>
    <row r="188" spans="1:4" x14ac:dyDescent="0.25">
      <c r="A188" s="1" t="s">
        <v>953</v>
      </c>
      <c r="B188" t="s">
        <v>999</v>
      </c>
      <c r="C188" s="1">
        <v>2.9</v>
      </c>
      <c r="D188" s="1" t="s">
        <v>217</v>
      </c>
    </row>
    <row r="189" spans="1:4" x14ac:dyDescent="0.25">
      <c r="A189" s="1" t="s">
        <v>622</v>
      </c>
      <c r="B189" t="s">
        <v>2772</v>
      </c>
      <c r="C189" s="1">
        <v>2.95</v>
      </c>
      <c r="D189" s="1" t="s">
        <v>217</v>
      </c>
    </row>
    <row r="190" spans="1:4" x14ac:dyDescent="0.25">
      <c r="A190" s="1" t="s">
        <v>915</v>
      </c>
      <c r="B190" t="s">
        <v>932</v>
      </c>
      <c r="C190" s="1">
        <v>2.99</v>
      </c>
      <c r="D190" s="1" t="s">
        <v>217</v>
      </c>
    </row>
    <row r="191" spans="1:4" x14ac:dyDescent="0.25">
      <c r="A191" s="1" t="s">
        <v>614</v>
      </c>
      <c r="B191" t="s">
        <v>115</v>
      </c>
      <c r="C191" s="1">
        <v>3.03</v>
      </c>
      <c r="D191" s="1" t="s">
        <v>220</v>
      </c>
    </row>
    <row r="192" spans="1:4" x14ac:dyDescent="0.25">
      <c r="A192" s="1" t="s">
        <v>619</v>
      </c>
      <c r="B192" t="s">
        <v>154</v>
      </c>
      <c r="C192" s="1">
        <v>3.04</v>
      </c>
      <c r="D192" s="1" t="s">
        <v>220</v>
      </c>
    </row>
    <row r="193" spans="1:4" x14ac:dyDescent="0.25">
      <c r="A193" s="1" t="s">
        <v>630</v>
      </c>
      <c r="B193" t="s">
        <v>199</v>
      </c>
      <c r="C193" s="1">
        <v>3.16</v>
      </c>
      <c r="D193" s="1" t="s">
        <v>220</v>
      </c>
    </row>
    <row r="194" spans="1:4" x14ac:dyDescent="0.25">
      <c r="A194" s="1" t="s">
        <v>633</v>
      </c>
      <c r="B194" t="s">
        <v>2707</v>
      </c>
      <c r="C194" s="1">
        <v>3.17</v>
      </c>
      <c r="D194" s="1" t="s">
        <v>220</v>
      </c>
    </row>
    <row r="195" spans="1:4" x14ac:dyDescent="0.25">
      <c r="A195" s="1" t="s">
        <v>2808</v>
      </c>
      <c r="B195" t="s">
        <v>172</v>
      </c>
      <c r="C195" s="1">
        <v>3.21</v>
      </c>
      <c r="D195" s="1" t="s">
        <v>220</v>
      </c>
    </row>
    <row r="196" spans="1:4" x14ac:dyDescent="0.25">
      <c r="A196" s="1" t="s">
        <v>603</v>
      </c>
      <c r="B196" t="s">
        <v>488</v>
      </c>
      <c r="C196" s="1">
        <v>3.23</v>
      </c>
      <c r="D196" s="1" t="s">
        <v>220</v>
      </c>
    </row>
    <row r="197" spans="1:4" x14ac:dyDescent="0.25">
      <c r="A197" s="1" t="s">
        <v>616</v>
      </c>
      <c r="B197" t="s">
        <v>137</v>
      </c>
      <c r="C197" s="1">
        <v>3.23</v>
      </c>
      <c r="D197" s="1" t="s">
        <v>220</v>
      </c>
    </row>
    <row r="198" spans="1:4" x14ac:dyDescent="0.25">
      <c r="A198" s="1" t="s">
        <v>617</v>
      </c>
      <c r="B198" t="s">
        <v>128</v>
      </c>
      <c r="C198" s="1">
        <v>3.28</v>
      </c>
      <c r="D198" s="1" t="s">
        <v>220</v>
      </c>
    </row>
    <row r="199" spans="1:4" x14ac:dyDescent="0.25">
      <c r="A199" s="1" t="s">
        <v>623</v>
      </c>
      <c r="B199" t="s">
        <v>169</v>
      </c>
      <c r="C199" s="1">
        <v>3.28</v>
      </c>
      <c r="D199" s="1" t="s">
        <v>220</v>
      </c>
    </row>
    <row r="200" spans="1:4" x14ac:dyDescent="0.25">
      <c r="A200" s="1" t="s">
        <v>1045</v>
      </c>
      <c r="B200" t="s">
        <v>1062</v>
      </c>
      <c r="C200" s="1">
        <v>3.37</v>
      </c>
      <c r="D200" s="1" t="s">
        <v>220</v>
      </c>
    </row>
    <row r="201" spans="1:4" x14ac:dyDescent="0.25">
      <c r="A201" s="1" t="s">
        <v>608</v>
      </c>
      <c r="B201" t="s">
        <v>73</v>
      </c>
      <c r="C201" s="1">
        <v>3.41</v>
      </c>
      <c r="D201" s="1" t="s">
        <v>220</v>
      </c>
    </row>
    <row r="202" spans="1:4" x14ac:dyDescent="0.25">
      <c r="A202" s="1" t="s">
        <v>1012</v>
      </c>
      <c r="B202" t="s">
        <v>1016</v>
      </c>
      <c r="C202" s="1">
        <v>3.43</v>
      </c>
      <c r="D202" s="1" t="s">
        <v>220</v>
      </c>
    </row>
    <row r="203" spans="1:4" x14ac:dyDescent="0.25">
      <c r="A203" s="1" t="s">
        <v>915</v>
      </c>
      <c r="B203" t="s">
        <v>938</v>
      </c>
      <c r="C203" s="1">
        <v>3.52</v>
      </c>
      <c r="D203" s="1" t="s">
        <v>220</v>
      </c>
    </row>
    <row r="204" spans="1:4" x14ac:dyDescent="0.25">
      <c r="A204" s="1" t="s">
        <v>1045</v>
      </c>
      <c r="B204" t="s">
        <v>149</v>
      </c>
      <c r="C204" s="1">
        <v>3.62</v>
      </c>
      <c r="D204" s="1" t="s">
        <v>220</v>
      </c>
    </row>
    <row r="205" spans="1:4" x14ac:dyDescent="0.25">
      <c r="A205" s="1" t="s">
        <v>953</v>
      </c>
      <c r="B205" t="s">
        <v>968</v>
      </c>
      <c r="C205" s="1">
        <v>3.66</v>
      </c>
      <c r="D205" s="1" t="s">
        <v>220</v>
      </c>
    </row>
    <row r="206" spans="1:4" x14ac:dyDescent="0.25">
      <c r="A206" s="1" t="s">
        <v>616</v>
      </c>
      <c r="B206" t="s">
        <v>136</v>
      </c>
      <c r="C206" s="1">
        <v>3.69</v>
      </c>
      <c r="D206" s="1" t="s">
        <v>220</v>
      </c>
    </row>
    <row r="207" spans="1:4" x14ac:dyDescent="0.25">
      <c r="A207" s="1" t="s">
        <v>627</v>
      </c>
      <c r="B207" t="s">
        <v>811</v>
      </c>
      <c r="C207" s="1">
        <v>3.71</v>
      </c>
      <c r="D207" s="1" t="s">
        <v>220</v>
      </c>
    </row>
    <row r="208" spans="1:4" x14ac:dyDescent="0.25">
      <c r="A208" s="1" t="s">
        <v>602</v>
      </c>
      <c r="B208" t="s">
        <v>774</v>
      </c>
      <c r="C208" s="1">
        <v>3.72</v>
      </c>
      <c r="D208" s="1" t="s">
        <v>220</v>
      </c>
    </row>
    <row r="209" spans="1:4" x14ac:dyDescent="0.25">
      <c r="A209" s="1" t="s">
        <v>620</v>
      </c>
      <c r="B209" t="s">
        <v>2765</v>
      </c>
      <c r="C209" s="1">
        <v>3.74</v>
      </c>
      <c r="D209" s="1" t="s">
        <v>220</v>
      </c>
    </row>
    <row r="210" spans="1:4" x14ac:dyDescent="0.25">
      <c r="A210" s="1" t="s">
        <v>915</v>
      </c>
      <c r="B210" t="s">
        <v>919</v>
      </c>
      <c r="C210" s="1">
        <v>3.82</v>
      </c>
      <c r="D210" s="1" t="s">
        <v>220</v>
      </c>
    </row>
    <row r="211" spans="1:4" x14ac:dyDescent="0.25">
      <c r="A211" s="1" t="s">
        <v>614</v>
      </c>
      <c r="B211" t="s">
        <v>3</v>
      </c>
      <c r="C211" s="1">
        <v>3.9</v>
      </c>
      <c r="D211" s="1" t="s">
        <v>220</v>
      </c>
    </row>
    <row r="212" spans="1:4" x14ac:dyDescent="0.25">
      <c r="A212" s="1" t="s">
        <v>623</v>
      </c>
      <c r="B212" t="s">
        <v>168</v>
      </c>
      <c r="C212" s="1">
        <v>3.93</v>
      </c>
      <c r="D212" s="1" t="s">
        <v>220</v>
      </c>
    </row>
    <row r="213" spans="1:4" x14ac:dyDescent="0.25">
      <c r="A213" s="1" t="s">
        <v>2616</v>
      </c>
      <c r="B213" t="s">
        <v>1432</v>
      </c>
      <c r="C213" s="1">
        <v>3.98</v>
      </c>
      <c r="D213" s="1" t="s">
        <v>220</v>
      </c>
    </row>
    <row r="214" spans="1:4" x14ac:dyDescent="0.25">
      <c r="A214" s="1" t="s">
        <v>606</v>
      </c>
      <c r="B214" t="s">
        <v>2742</v>
      </c>
      <c r="C214" s="1">
        <v>4.01</v>
      </c>
      <c r="D214" s="1" t="s">
        <v>220</v>
      </c>
    </row>
    <row r="215" spans="1:4" x14ac:dyDescent="0.25">
      <c r="A215" s="1" t="s">
        <v>629</v>
      </c>
      <c r="B215" t="s">
        <v>181</v>
      </c>
      <c r="C215" s="1">
        <v>4.05</v>
      </c>
      <c r="D215" s="1" t="s">
        <v>220</v>
      </c>
    </row>
    <row r="216" spans="1:4" x14ac:dyDescent="0.25">
      <c r="A216" s="1" t="s">
        <v>2616</v>
      </c>
      <c r="B216" t="s">
        <v>1433</v>
      </c>
      <c r="C216" s="1">
        <v>4.12</v>
      </c>
      <c r="D216" s="1" t="s">
        <v>220</v>
      </c>
    </row>
    <row r="217" spans="1:4" x14ac:dyDescent="0.25">
      <c r="A217" s="1" t="s">
        <v>609</v>
      </c>
      <c r="B217" t="s">
        <v>76</v>
      </c>
      <c r="C217" s="1">
        <v>4.13</v>
      </c>
      <c r="D217" s="1" t="s">
        <v>220</v>
      </c>
    </row>
    <row r="218" spans="1:4" x14ac:dyDescent="0.25">
      <c r="A218" s="1" t="s">
        <v>633</v>
      </c>
      <c r="B218" t="s">
        <v>207</v>
      </c>
      <c r="C218" s="1">
        <v>4.2</v>
      </c>
      <c r="D218" s="1" t="s">
        <v>220</v>
      </c>
    </row>
    <row r="219" spans="1:4" x14ac:dyDescent="0.25">
      <c r="A219" s="1" t="s">
        <v>612</v>
      </c>
      <c r="B219" t="s">
        <v>91</v>
      </c>
      <c r="C219" s="1">
        <v>4.55</v>
      </c>
      <c r="D219" s="1" t="s">
        <v>220</v>
      </c>
    </row>
    <row r="220" spans="1:4" x14ac:dyDescent="0.25">
      <c r="A220" s="1" t="s">
        <v>953</v>
      </c>
      <c r="B220" t="s">
        <v>976</v>
      </c>
      <c r="C220" s="1">
        <v>4.6399999999999997</v>
      </c>
      <c r="D220" s="1" t="s">
        <v>220</v>
      </c>
    </row>
    <row r="221" spans="1:4" x14ac:dyDescent="0.25">
      <c r="A221" s="1" t="s">
        <v>605</v>
      </c>
      <c r="B221" t="s">
        <v>2737</v>
      </c>
      <c r="C221" s="1">
        <v>4.6500000000000004</v>
      </c>
      <c r="D221" s="1" t="s">
        <v>220</v>
      </c>
    </row>
    <row r="222" spans="1:4" x14ac:dyDescent="0.25">
      <c r="A222" s="1" t="s">
        <v>629</v>
      </c>
      <c r="B222" t="s">
        <v>2779</v>
      </c>
      <c r="C222" s="1">
        <v>4.66</v>
      </c>
      <c r="D222" s="1" t="s">
        <v>220</v>
      </c>
    </row>
    <row r="223" spans="1:4" x14ac:dyDescent="0.25">
      <c r="A223" s="1" t="s">
        <v>623</v>
      </c>
      <c r="B223" t="s">
        <v>167</v>
      </c>
      <c r="C223" s="1">
        <v>4.68</v>
      </c>
      <c r="D223" s="1" t="s">
        <v>220</v>
      </c>
    </row>
    <row r="224" spans="1:4" x14ac:dyDescent="0.25">
      <c r="A224" s="1" t="s">
        <v>607</v>
      </c>
      <c r="B224" t="s">
        <v>35</v>
      </c>
      <c r="C224" s="1">
        <v>4.6900000000000004</v>
      </c>
      <c r="D224" s="1" t="s">
        <v>220</v>
      </c>
    </row>
    <row r="225" spans="1:4" x14ac:dyDescent="0.25">
      <c r="A225" s="1" t="s">
        <v>613</v>
      </c>
      <c r="B225" t="s">
        <v>97</v>
      </c>
      <c r="C225" s="1">
        <v>4.78</v>
      </c>
      <c r="D225" s="1" t="s">
        <v>220</v>
      </c>
    </row>
    <row r="226" spans="1:4" x14ac:dyDescent="0.25">
      <c r="A226" s="1" t="s">
        <v>616</v>
      </c>
      <c r="B226" t="s">
        <v>120</v>
      </c>
      <c r="C226" s="1">
        <v>4.8</v>
      </c>
      <c r="D226" s="1" t="s">
        <v>220</v>
      </c>
    </row>
    <row r="227" spans="1:4" x14ac:dyDescent="0.25">
      <c r="A227" s="1" t="s">
        <v>605</v>
      </c>
      <c r="B227" t="s">
        <v>48</v>
      </c>
      <c r="C227" s="1">
        <v>4.8600000000000003</v>
      </c>
      <c r="D227" s="1" t="s">
        <v>220</v>
      </c>
    </row>
    <row r="228" spans="1:4" x14ac:dyDescent="0.25">
      <c r="A228" s="1" t="s">
        <v>614</v>
      </c>
      <c r="B228" t="s">
        <v>114</v>
      </c>
      <c r="C228" s="1">
        <v>4.88</v>
      </c>
      <c r="D228" s="1" t="s">
        <v>220</v>
      </c>
    </row>
    <row r="229" spans="1:4" x14ac:dyDescent="0.25">
      <c r="A229" s="1" t="s">
        <v>607</v>
      </c>
      <c r="B229" t="s">
        <v>60</v>
      </c>
      <c r="C229" s="1">
        <v>4.9000000000000004</v>
      </c>
      <c r="D229" s="1" t="s">
        <v>220</v>
      </c>
    </row>
    <row r="230" spans="1:4" x14ac:dyDescent="0.25">
      <c r="A230" s="1" t="s">
        <v>915</v>
      </c>
      <c r="B230" t="s">
        <v>929</v>
      </c>
      <c r="C230" s="1">
        <v>5.03</v>
      </c>
      <c r="D230" s="1" t="s">
        <v>220</v>
      </c>
    </row>
    <row r="231" spans="1:4" x14ac:dyDescent="0.25">
      <c r="A231" s="1" t="s">
        <v>612</v>
      </c>
      <c r="B231" t="s">
        <v>87</v>
      </c>
      <c r="C231" s="1">
        <v>5.05</v>
      </c>
      <c r="D231" s="1" t="s">
        <v>220</v>
      </c>
    </row>
    <row r="232" spans="1:4" x14ac:dyDescent="0.25">
      <c r="A232" s="1" t="s">
        <v>1012</v>
      </c>
      <c r="B232" t="s">
        <v>1017</v>
      </c>
      <c r="C232" s="1">
        <v>5.08</v>
      </c>
      <c r="D232" s="1" t="s">
        <v>220</v>
      </c>
    </row>
    <row r="233" spans="1:4" x14ac:dyDescent="0.25">
      <c r="A233" s="1" t="s">
        <v>614</v>
      </c>
      <c r="B233" t="s">
        <v>109</v>
      </c>
      <c r="C233" s="1">
        <v>5.17</v>
      </c>
      <c r="D233" s="1" t="s">
        <v>220</v>
      </c>
    </row>
    <row r="234" spans="1:4" x14ac:dyDescent="0.25">
      <c r="A234" s="1" t="s">
        <v>915</v>
      </c>
      <c r="B234" t="s">
        <v>939</v>
      </c>
      <c r="C234" s="1">
        <v>5.18</v>
      </c>
      <c r="D234" s="1" t="s">
        <v>220</v>
      </c>
    </row>
    <row r="235" spans="1:4" x14ac:dyDescent="0.25">
      <c r="A235" s="1" t="s">
        <v>2616</v>
      </c>
      <c r="B235" t="s">
        <v>1434</v>
      </c>
      <c r="C235" s="1">
        <v>5.35</v>
      </c>
      <c r="D235" s="1" t="s">
        <v>220</v>
      </c>
    </row>
    <row r="236" spans="1:4" x14ac:dyDescent="0.25">
      <c r="A236" s="1" t="s">
        <v>622</v>
      </c>
      <c r="B236" t="s">
        <v>158</v>
      </c>
      <c r="C236" s="1">
        <v>5.36</v>
      </c>
      <c r="D236" s="1" t="s">
        <v>220</v>
      </c>
    </row>
    <row r="237" spans="1:4" x14ac:dyDescent="0.25">
      <c r="A237" s="1" t="s">
        <v>953</v>
      </c>
      <c r="B237" t="s">
        <v>142</v>
      </c>
      <c r="C237" s="1">
        <v>5.4</v>
      </c>
      <c r="D237" s="1" t="s">
        <v>220</v>
      </c>
    </row>
    <row r="238" spans="1:4" x14ac:dyDescent="0.25">
      <c r="A238" s="1" t="s">
        <v>623</v>
      </c>
      <c r="B238" t="s">
        <v>163</v>
      </c>
      <c r="C238" s="1">
        <v>5.62</v>
      </c>
      <c r="D238" s="1" t="s">
        <v>220</v>
      </c>
    </row>
    <row r="239" spans="1:4" x14ac:dyDescent="0.25">
      <c r="A239" s="1" t="s">
        <v>615</v>
      </c>
      <c r="B239" t="s">
        <v>2751</v>
      </c>
      <c r="C239" s="1">
        <v>5.64</v>
      </c>
      <c r="D239" s="1" t="s">
        <v>220</v>
      </c>
    </row>
    <row r="240" spans="1:4" x14ac:dyDescent="0.25">
      <c r="A240" s="1" t="s">
        <v>1045</v>
      </c>
      <c r="B240" t="s">
        <v>1065</v>
      </c>
      <c r="C240" s="1">
        <v>5.64</v>
      </c>
      <c r="D240" s="1" t="s">
        <v>220</v>
      </c>
    </row>
    <row r="241" spans="1:4" x14ac:dyDescent="0.25">
      <c r="A241" s="1" t="s">
        <v>613</v>
      </c>
      <c r="B241" t="s">
        <v>95</v>
      </c>
      <c r="C241" s="1">
        <v>5.65</v>
      </c>
      <c r="D241" s="1" t="s">
        <v>220</v>
      </c>
    </row>
    <row r="242" spans="1:4" x14ac:dyDescent="0.25">
      <c r="A242" s="1" t="s">
        <v>605</v>
      </c>
      <c r="B242" t="s">
        <v>43</v>
      </c>
      <c r="C242" s="1">
        <v>5.7</v>
      </c>
      <c r="D242" s="1" t="s">
        <v>220</v>
      </c>
    </row>
    <row r="243" spans="1:4" x14ac:dyDescent="0.25">
      <c r="A243" s="1" t="s">
        <v>915</v>
      </c>
      <c r="B243" t="s">
        <v>934</v>
      </c>
      <c r="C243" s="1">
        <v>5.76</v>
      </c>
      <c r="D243" s="1" t="s">
        <v>220</v>
      </c>
    </row>
    <row r="244" spans="1:4" x14ac:dyDescent="0.25">
      <c r="A244" s="1" t="s">
        <v>627</v>
      </c>
      <c r="B244" t="s">
        <v>779</v>
      </c>
      <c r="C244" s="1">
        <v>5.78</v>
      </c>
      <c r="D244" s="1" t="s">
        <v>220</v>
      </c>
    </row>
    <row r="245" spans="1:4" x14ac:dyDescent="0.25">
      <c r="A245" s="1" t="s">
        <v>627</v>
      </c>
      <c r="B245" t="s">
        <v>2777</v>
      </c>
      <c r="C245" s="1">
        <v>5.82</v>
      </c>
      <c r="D245" s="1" t="s">
        <v>220</v>
      </c>
    </row>
    <row r="246" spans="1:4" x14ac:dyDescent="0.25">
      <c r="A246" s="1" t="s">
        <v>915</v>
      </c>
      <c r="B246" t="s">
        <v>917</v>
      </c>
      <c r="C246" s="1">
        <v>5.85</v>
      </c>
      <c r="D246" s="1" t="s">
        <v>220</v>
      </c>
    </row>
    <row r="247" spans="1:4" x14ac:dyDescent="0.25">
      <c r="A247" s="1" t="s">
        <v>602</v>
      </c>
      <c r="B247" t="s">
        <v>777</v>
      </c>
      <c r="C247" s="1">
        <v>5.92</v>
      </c>
      <c r="D247" s="1" t="s">
        <v>220</v>
      </c>
    </row>
    <row r="248" spans="1:4" x14ac:dyDescent="0.25">
      <c r="A248" s="1" t="s">
        <v>915</v>
      </c>
      <c r="B248" t="s">
        <v>936</v>
      </c>
      <c r="C248" s="1">
        <v>5.99</v>
      </c>
      <c r="D248" s="1" t="s">
        <v>220</v>
      </c>
    </row>
    <row r="249" spans="1:4" x14ac:dyDescent="0.25">
      <c r="A249" s="1" t="s">
        <v>628</v>
      </c>
      <c r="B249" t="s">
        <v>2689</v>
      </c>
      <c r="C249" s="1">
        <v>6.01</v>
      </c>
      <c r="D249" s="1" t="s">
        <v>220</v>
      </c>
    </row>
    <row r="250" spans="1:4" x14ac:dyDescent="0.25">
      <c r="A250" s="1" t="s">
        <v>618</v>
      </c>
      <c r="B250" t="s">
        <v>2762</v>
      </c>
      <c r="C250" s="1">
        <v>6.15</v>
      </c>
      <c r="D250" s="1" t="s">
        <v>220</v>
      </c>
    </row>
    <row r="251" spans="1:4" x14ac:dyDescent="0.25">
      <c r="A251" s="1" t="s">
        <v>610</v>
      </c>
      <c r="B251" t="s">
        <v>79</v>
      </c>
      <c r="C251" s="1">
        <v>6.42</v>
      </c>
      <c r="D251" s="1" t="s">
        <v>220</v>
      </c>
    </row>
    <row r="252" spans="1:4" x14ac:dyDescent="0.25">
      <c r="A252" s="1" t="s">
        <v>628</v>
      </c>
      <c r="B252" t="s">
        <v>178</v>
      </c>
      <c r="C252" s="1">
        <v>6.43</v>
      </c>
      <c r="D252" s="1" t="s">
        <v>220</v>
      </c>
    </row>
    <row r="253" spans="1:4" x14ac:dyDescent="0.25">
      <c r="A253" s="1" t="s">
        <v>633</v>
      </c>
      <c r="B253" t="s">
        <v>649</v>
      </c>
      <c r="C253" s="1">
        <v>6.72</v>
      </c>
      <c r="D253" s="1" t="s">
        <v>220</v>
      </c>
    </row>
    <row r="254" spans="1:4" x14ac:dyDescent="0.25">
      <c r="A254" s="1" t="s">
        <v>616</v>
      </c>
      <c r="B254" t="s">
        <v>139</v>
      </c>
      <c r="C254" s="1">
        <v>7.14</v>
      </c>
      <c r="D254" s="1" t="s">
        <v>220</v>
      </c>
    </row>
    <row r="255" spans="1:4" x14ac:dyDescent="0.25">
      <c r="A255" s="1" t="s">
        <v>602</v>
      </c>
      <c r="B255" t="s">
        <v>27</v>
      </c>
      <c r="C255" s="1">
        <v>7.16</v>
      </c>
      <c r="D255" s="1" t="s">
        <v>220</v>
      </c>
    </row>
    <row r="256" spans="1:4" x14ac:dyDescent="0.25">
      <c r="A256" s="1" t="s">
        <v>613</v>
      </c>
      <c r="B256" t="s">
        <v>96</v>
      </c>
      <c r="C256" s="1">
        <v>7.16</v>
      </c>
      <c r="D256" s="1" t="s">
        <v>220</v>
      </c>
    </row>
    <row r="257" spans="1:4" x14ac:dyDescent="0.25">
      <c r="A257" s="1" t="s">
        <v>1012</v>
      </c>
      <c r="B257" t="s">
        <v>1019</v>
      </c>
      <c r="C257" s="1">
        <v>7.43</v>
      </c>
      <c r="D257" s="1" t="s">
        <v>220</v>
      </c>
    </row>
    <row r="258" spans="1:4" x14ac:dyDescent="0.25">
      <c r="A258" s="1" t="s">
        <v>629</v>
      </c>
      <c r="B258" t="s">
        <v>184</v>
      </c>
      <c r="C258" s="1">
        <v>7.85</v>
      </c>
      <c r="D258" s="1" t="s">
        <v>220</v>
      </c>
    </row>
    <row r="259" spans="1:4" x14ac:dyDescent="0.25">
      <c r="A259" s="1" t="s">
        <v>608</v>
      </c>
      <c r="B259" t="s">
        <v>485</v>
      </c>
      <c r="C259" s="1">
        <v>7.92</v>
      </c>
      <c r="D259" s="1" t="s">
        <v>220</v>
      </c>
    </row>
    <row r="260" spans="1:4" x14ac:dyDescent="0.25">
      <c r="A260" s="1" t="s">
        <v>1012</v>
      </c>
      <c r="B260" t="s">
        <v>1020</v>
      </c>
      <c r="C260" s="1">
        <v>8.0399999999999991</v>
      </c>
      <c r="D260" s="1" t="s">
        <v>220</v>
      </c>
    </row>
    <row r="261" spans="1:4" x14ac:dyDescent="0.25">
      <c r="A261" s="1" t="s">
        <v>616</v>
      </c>
      <c r="B261" t="s">
        <v>2756</v>
      </c>
      <c r="C261" s="1">
        <v>8.1</v>
      </c>
      <c r="D261" s="1" t="s">
        <v>220</v>
      </c>
    </row>
    <row r="262" spans="1:4" x14ac:dyDescent="0.25">
      <c r="A262" s="1" t="s">
        <v>615</v>
      </c>
      <c r="B262" t="s">
        <v>129</v>
      </c>
      <c r="C262" s="1">
        <v>8.1300000000000008</v>
      </c>
      <c r="D262" s="1" t="s">
        <v>220</v>
      </c>
    </row>
    <row r="263" spans="1:4" x14ac:dyDescent="0.25">
      <c r="A263" s="1" t="s">
        <v>831</v>
      </c>
      <c r="B263" t="s">
        <v>885</v>
      </c>
      <c r="C263" s="1">
        <v>8.27</v>
      </c>
      <c r="D263" s="1" t="s">
        <v>220</v>
      </c>
    </row>
    <row r="264" spans="1:4" x14ac:dyDescent="0.25">
      <c r="A264" s="1" t="s">
        <v>953</v>
      </c>
      <c r="B264" t="s">
        <v>975</v>
      </c>
      <c r="C264" s="1">
        <v>8.2799999999999994</v>
      </c>
      <c r="D264" s="1" t="s">
        <v>220</v>
      </c>
    </row>
    <row r="265" spans="1:4" x14ac:dyDescent="0.25">
      <c r="A265" s="1" t="s">
        <v>1045</v>
      </c>
      <c r="B265" t="s">
        <v>1063</v>
      </c>
      <c r="C265" s="1">
        <v>8.3000000000000007</v>
      </c>
      <c r="D265" s="1" t="s">
        <v>220</v>
      </c>
    </row>
    <row r="266" spans="1:4" x14ac:dyDescent="0.25">
      <c r="A266" s="1" t="s">
        <v>611</v>
      </c>
      <c r="B266" t="s">
        <v>82</v>
      </c>
      <c r="C266" s="1">
        <v>8.67</v>
      </c>
      <c r="D266" s="1" t="s">
        <v>220</v>
      </c>
    </row>
    <row r="267" spans="1:4" x14ac:dyDescent="0.25">
      <c r="A267" s="1" t="s">
        <v>601</v>
      </c>
      <c r="B267" t="s">
        <v>21</v>
      </c>
      <c r="C267" s="1">
        <v>8.7899999999999991</v>
      </c>
      <c r="D267" s="1" t="s">
        <v>220</v>
      </c>
    </row>
    <row r="268" spans="1:4" x14ac:dyDescent="0.25">
      <c r="A268" s="1" t="s">
        <v>616</v>
      </c>
      <c r="B268" t="s">
        <v>2755</v>
      </c>
      <c r="C268" s="1">
        <v>8.83</v>
      </c>
      <c r="D268" s="1" t="s">
        <v>220</v>
      </c>
    </row>
    <row r="269" spans="1:4" x14ac:dyDescent="0.25">
      <c r="A269" s="1" t="s">
        <v>622</v>
      </c>
      <c r="B269" t="s">
        <v>161</v>
      </c>
      <c r="C269" s="1">
        <v>8.84</v>
      </c>
      <c r="D269" s="1" t="s">
        <v>220</v>
      </c>
    </row>
    <row r="270" spans="1:4" x14ac:dyDescent="0.25">
      <c r="A270" s="1" t="s">
        <v>915</v>
      </c>
      <c r="B270" t="s">
        <v>927</v>
      </c>
      <c r="C270" s="1">
        <v>8.8699999999999992</v>
      </c>
      <c r="D270" s="1" t="s">
        <v>220</v>
      </c>
    </row>
    <row r="271" spans="1:4" x14ac:dyDescent="0.25">
      <c r="A271" s="1" t="s">
        <v>605</v>
      </c>
      <c r="B271" t="s">
        <v>45</v>
      </c>
      <c r="C271" s="1">
        <v>8.94</v>
      </c>
      <c r="D271" s="1" t="s">
        <v>220</v>
      </c>
    </row>
    <row r="272" spans="1:4" x14ac:dyDescent="0.25">
      <c r="A272" s="1" t="s">
        <v>633</v>
      </c>
      <c r="B272" t="s">
        <v>213</v>
      </c>
      <c r="C272" s="1">
        <v>9.65</v>
      </c>
      <c r="D272" s="1" t="s">
        <v>220</v>
      </c>
    </row>
    <row r="273" spans="1:4" x14ac:dyDescent="0.25">
      <c r="A273" s="1" t="s">
        <v>616</v>
      </c>
      <c r="B273" t="s">
        <v>144</v>
      </c>
      <c r="C273" s="1">
        <v>9.8800000000000008</v>
      </c>
      <c r="D273" s="1" t="s">
        <v>220</v>
      </c>
    </row>
    <row r="274" spans="1:4" x14ac:dyDescent="0.25">
      <c r="A274" s="1" t="s">
        <v>610</v>
      </c>
      <c r="B274" t="s">
        <v>80</v>
      </c>
      <c r="C274" s="1">
        <v>9.94</v>
      </c>
      <c r="D274" s="1" t="s">
        <v>220</v>
      </c>
    </row>
    <row r="275" spans="1:4" x14ac:dyDescent="0.25">
      <c r="A275" s="1" t="s">
        <v>608</v>
      </c>
      <c r="B275" t="s">
        <v>2746</v>
      </c>
      <c r="C275" s="1">
        <v>10.6</v>
      </c>
      <c r="D275" s="1" t="s">
        <v>221</v>
      </c>
    </row>
    <row r="276" spans="1:4" x14ac:dyDescent="0.25">
      <c r="A276" s="1" t="s">
        <v>605</v>
      </c>
      <c r="B276" t="s">
        <v>41</v>
      </c>
      <c r="C276" s="1">
        <v>10.63</v>
      </c>
      <c r="D276" s="1" t="s">
        <v>221</v>
      </c>
    </row>
    <row r="277" spans="1:4" x14ac:dyDescent="0.25">
      <c r="A277" s="1" t="s">
        <v>607</v>
      </c>
      <c r="B277" t="s">
        <v>57</v>
      </c>
      <c r="C277" s="1">
        <v>11</v>
      </c>
      <c r="D277" s="1" t="s">
        <v>221</v>
      </c>
    </row>
    <row r="278" spans="1:4" x14ac:dyDescent="0.25">
      <c r="A278" s="1" t="s">
        <v>612</v>
      </c>
      <c r="B278" t="s">
        <v>88</v>
      </c>
      <c r="C278" s="1">
        <v>11.03</v>
      </c>
      <c r="D278" s="1" t="s">
        <v>221</v>
      </c>
    </row>
    <row r="279" spans="1:4" x14ac:dyDescent="0.25">
      <c r="A279" s="1" t="s">
        <v>603</v>
      </c>
      <c r="B279" t="s">
        <v>2625</v>
      </c>
      <c r="C279" s="1">
        <v>11.71</v>
      </c>
      <c r="D279" s="1" t="s">
        <v>221</v>
      </c>
    </row>
    <row r="280" spans="1:4" x14ac:dyDescent="0.25">
      <c r="A280" s="1" t="s">
        <v>607</v>
      </c>
      <c r="B280" t="s">
        <v>59</v>
      </c>
      <c r="C280" s="1">
        <v>11.88</v>
      </c>
      <c r="D280" s="1" t="s">
        <v>221</v>
      </c>
    </row>
    <row r="281" spans="1:4" x14ac:dyDescent="0.25">
      <c r="A281" s="1" t="s">
        <v>1045</v>
      </c>
      <c r="B281" t="s">
        <v>1064</v>
      </c>
      <c r="C281" s="1">
        <v>12</v>
      </c>
      <c r="D281" s="1" t="s">
        <v>221</v>
      </c>
    </row>
    <row r="282" spans="1:4" x14ac:dyDescent="0.25">
      <c r="A282" s="1" t="s">
        <v>627</v>
      </c>
      <c r="B282" t="s">
        <v>126</v>
      </c>
      <c r="C282" s="1">
        <v>12.23</v>
      </c>
      <c r="D282" s="1" t="s">
        <v>221</v>
      </c>
    </row>
    <row r="283" spans="1:4" x14ac:dyDescent="0.25">
      <c r="A283" s="1" t="s">
        <v>630</v>
      </c>
      <c r="B283" t="s">
        <v>200</v>
      </c>
      <c r="C283" s="1">
        <v>12.61</v>
      </c>
      <c r="D283" s="1" t="s">
        <v>221</v>
      </c>
    </row>
    <row r="284" spans="1:4" x14ac:dyDescent="0.25">
      <c r="A284" s="1" t="s">
        <v>1045</v>
      </c>
      <c r="B284" t="s">
        <v>1058</v>
      </c>
      <c r="C284" s="1">
        <v>12.69</v>
      </c>
      <c r="D284" s="1" t="s">
        <v>221</v>
      </c>
    </row>
    <row r="285" spans="1:4" x14ac:dyDescent="0.25">
      <c r="A285" s="1" t="s">
        <v>915</v>
      </c>
      <c r="B285" t="s">
        <v>926</v>
      </c>
      <c r="C285" s="1">
        <v>12.7</v>
      </c>
      <c r="D285" s="1" t="s">
        <v>221</v>
      </c>
    </row>
    <row r="286" spans="1:4" x14ac:dyDescent="0.25">
      <c r="A286" s="1" t="s">
        <v>635</v>
      </c>
      <c r="B286" t="s">
        <v>645</v>
      </c>
      <c r="C286" s="1">
        <v>12.78</v>
      </c>
      <c r="D286" s="1" t="s">
        <v>221</v>
      </c>
    </row>
    <row r="287" spans="1:4" x14ac:dyDescent="0.25">
      <c r="A287" s="1" t="s">
        <v>614</v>
      </c>
      <c r="B287" t="s">
        <v>899</v>
      </c>
      <c r="C287" s="1">
        <v>12.79</v>
      </c>
      <c r="D287" s="1" t="s">
        <v>221</v>
      </c>
    </row>
    <row r="288" spans="1:4" x14ac:dyDescent="0.25">
      <c r="A288" s="1" t="s">
        <v>601</v>
      </c>
      <c r="B288" t="s">
        <v>2732</v>
      </c>
      <c r="C288" s="1">
        <v>13.14</v>
      </c>
      <c r="D288" s="1" t="s">
        <v>221</v>
      </c>
    </row>
    <row r="289" spans="1:4" x14ac:dyDescent="0.25">
      <c r="A289" s="1" t="s">
        <v>633</v>
      </c>
      <c r="B289" t="s">
        <v>215</v>
      </c>
      <c r="C289" s="1">
        <v>13.24</v>
      </c>
      <c r="D289" s="1" t="s">
        <v>221</v>
      </c>
    </row>
    <row r="290" spans="1:4" x14ac:dyDescent="0.25">
      <c r="A290" s="1" t="s">
        <v>608</v>
      </c>
      <c r="B290" t="s">
        <v>484</v>
      </c>
      <c r="C290" s="1">
        <v>13.43</v>
      </c>
      <c r="D290" s="1" t="s">
        <v>221</v>
      </c>
    </row>
    <row r="291" spans="1:4" x14ac:dyDescent="0.25">
      <c r="A291" s="1" t="s">
        <v>635</v>
      </c>
      <c r="B291" t="s">
        <v>145</v>
      </c>
      <c r="C291" s="1">
        <v>13.43</v>
      </c>
      <c r="D291" s="1" t="s">
        <v>221</v>
      </c>
    </row>
    <row r="292" spans="1:4" x14ac:dyDescent="0.25">
      <c r="A292" s="1" t="s">
        <v>616</v>
      </c>
      <c r="B292" t="s">
        <v>2754</v>
      </c>
      <c r="C292" s="1">
        <v>13.54</v>
      </c>
      <c r="D292" s="1" t="s">
        <v>221</v>
      </c>
    </row>
    <row r="293" spans="1:4" x14ac:dyDescent="0.25">
      <c r="A293" s="1" t="s">
        <v>624</v>
      </c>
      <c r="B293" t="s">
        <v>174</v>
      </c>
      <c r="C293" s="1">
        <v>13.62</v>
      </c>
      <c r="D293" s="1" t="s">
        <v>221</v>
      </c>
    </row>
    <row r="294" spans="1:4" x14ac:dyDescent="0.25">
      <c r="A294" s="1" t="s">
        <v>627</v>
      </c>
      <c r="B294" t="s">
        <v>125</v>
      </c>
      <c r="C294" s="1">
        <v>13.63</v>
      </c>
      <c r="D294" s="1" t="s">
        <v>221</v>
      </c>
    </row>
    <row r="295" spans="1:4" x14ac:dyDescent="0.25">
      <c r="A295" s="1" t="s">
        <v>609</v>
      </c>
      <c r="B295" t="s">
        <v>67</v>
      </c>
      <c r="C295" s="1">
        <v>13.7</v>
      </c>
      <c r="D295" s="1" t="s">
        <v>221</v>
      </c>
    </row>
    <row r="296" spans="1:4" x14ac:dyDescent="0.25">
      <c r="A296" s="1" t="s">
        <v>915</v>
      </c>
      <c r="B296" t="s">
        <v>928</v>
      </c>
      <c r="C296" s="1">
        <v>13.82</v>
      </c>
      <c r="D296" s="1" t="s">
        <v>221</v>
      </c>
    </row>
    <row r="297" spans="1:4" x14ac:dyDescent="0.25">
      <c r="A297" s="1" t="s">
        <v>605</v>
      </c>
      <c r="B297" t="s">
        <v>46</v>
      </c>
      <c r="C297" s="1">
        <v>14.14</v>
      </c>
      <c r="D297" s="1" t="s">
        <v>221</v>
      </c>
    </row>
    <row r="298" spans="1:4" x14ac:dyDescent="0.25">
      <c r="A298" s="1" t="s">
        <v>632</v>
      </c>
      <c r="B298" t="s">
        <v>206</v>
      </c>
      <c r="C298" s="1">
        <v>14.28</v>
      </c>
      <c r="D298" s="1" t="s">
        <v>221</v>
      </c>
    </row>
    <row r="299" spans="1:4" x14ac:dyDescent="0.25">
      <c r="A299" s="1" t="s">
        <v>602</v>
      </c>
      <c r="B299" t="s">
        <v>29</v>
      </c>
      <c r="C299" s="1">
        <v>14.31</v>
      </c>
      <c r="D299" s="1" t="s">
        <v>221</v>
      </c>
    </row>
    <row r="300" spans="1:4" x14ac:dyDescent="0.25">
      <c r="A300" s="1" t="s">
        <v>1012</v>
      </c>
      <c r="B300" t="s">
        <v>1026</v>
      </c>
      <c r="C300" s="1">
        <v>14.33</v>
      </c>
      <c r="D300" s="1" t="s">
        <v>221</v>
      </c>
    </row>
    <row r="301" spans="1:4" x14ac:dyDescent="0.25">
      <c r="A301" s="1" t="s">
        <v>831</v>
      </c>
      <c r="B301" t="s">
        <v>944</v>
      </c>
      <c r="C301" s="1">
        <v>14.78</v>
      </c>
      <c r="D301" s="1" t="s">
        <v>221</v>
      </c>
    </row>
    <row r="302" spans="1:4" x14ac:dyDescent="0.25">
      <c r="A302" s="1" t="s">
        <v>605</v>
      </c>
      <c r="B302" t="s">
        <v>50</v>
      </c>
      <c r="C302" s="1">
        <v>14.81</v>
      </c>
      <c r="D302" s="1" t="s">
        <v>221</v>
      </c>
    </row>
    <row r="303" spans="1:4" x14ac:dyDescent="0.25">
      <c r="A303" s="1" t="s">
        <v>915</v>
      </c>
      <c r="B303" t="s">
        <v>920</v>
      </c>
      <c r="C303" s="1">
        <v>15.03</v>
      </c>
      <c r="D303" s="1" t="s">
        <v>221</v>
      </c>
    </row>
    <row r="304" spans="1:4" x14ac:dyDescent="0.25">
      <c r="A304" s="1" t="s">
        <v>831</v>
      </c>
      <c r="B304" t="s">
        <v>888</v>
      </c>
      <c r="C304" s="1">
        <v>15.29</v>
      </c>
      <c r="D304" s="1" t="s">
        <v>221</v>
      </c>
    </row>
    <row r="305" spans="1:4" x14ac:dyDescent="0.25">
      <c r="A305" s="1" t="s">
        <v>609</v>
      </c>
      <c r="B305" t="s">
        <v>66</v>
      </c>
      <c r="C305" s="1">
        <v>15.43</v>
      </c>
      <c r="D305" s="1" t="s">
        <v>221</v>
      </c>
    </row>
    <row r="306" spans="1:4" x14ac:dyDescent="0.25">
      <c r="A306" s="1" t="s">
        <v>953</v>
      </c>
      <c r="B306" t="s">
        <v>1540</v>
      </c>
      <c r="C306" s="1">
        <v>15.5</v>
      </c>
      <c r="D306" s="1" t="s">
        <v>221</v>
      </c>
    </row>
    <row r="307" spans="1:4" x14ac:dyDescent="0.25">
      <c r="A307" s="1" t="s">
        <v>632</v>
      </c>
      <c r="B307" t="s">
        <v>112</v>
      </c>
      <c r="C307" s="1">
        <v>15.66</v>
      </c>
      <c r="D307" s="1" t="s">
        <v>221</v>
      </c>
    </row>
    <row r="308" spans="1:4" x14ac:dyDescent="0.25">
      <c r="A308" s="1" t="s">
        <v>831</v>
      </c>
      <c r="B308" t="s">
        <v>887</v>
      </c>
      <c r="C308" s="1">
        <v>15.85</v>
      </c>
      <c r="D308" s="1" t="s">
        <v>221</v>
      </c>
    </row>
    <row r="309" spans="1:4" x14ac:dyDescent="0.25">
      <c r="A309" s="1" t="s">
        <v>631</v>
      </c>
      <c r="B309" t="s">
        <v>201</v>
      </c>
      <c r="C309" s="1">
        <v>15.88</v>
      </c>
      <c r="D309" s="1" t="s">
        <v>221</v>
      </c>
    </row>
    <row r="310" spans="1:4" x14ac:dyDescent="0.25">
      <c r="A310" s="1" t="s">
        <v>602</v>
      </c>
      <c r="B310" t="s">
        <v>836</v>
      </c>
      <c r="C310" s="1">
        <v>16.72</v>
      </c>
      <c r="D310" s="1" t="s">
        <v>221</v>
      </c>
    </row>
    <row r="311" spans="1:4" x14ac:dyDescent="0.25">
      <c r="A311" s="1" t="s">
        <v>831</v>
      </c>
      <c r="B311" t="s">
        <v>893</v>
      </c>
      <c r="C311" s="1">
        <v>16.829999999999998</v>
      </c>
      <c r="D311" s="1" t="s">
        <v>221</v>
      </c>
    </row>
    <row r="312" spans="1:4" x14ac:dyDescent="0.25">
      <c r="A312" s="1" t="s">
        <v>611</v>
      </c>
      <c r="B312" t="s">
        <v>85</v>
      </c>
      <c r="C312" s="1">
        <v>16.899999999999999</v>
      </c>
      <c r="D312" s="1" t="s">
        <v>221</v>
      </c>
    </row>
    <row r="313" spans="1:4" x14ac:dyDescent="0.25">
      <c r="A313" s="1" t="s">
        <v>615</v>
      </c>
      <c r="B313" t="s">
        <v>127</v>
      </c>
      <c r="C313" s="1">
        <v>17.18</v>
      </c>
      <c r="D313" s="1" t="s">
        <v>221</v>
      </c>
    </row>
    <row r="314" spans="1:4" x14ac:dyDescent="0.25">
      <c r="A314" s="1" t="s">
        <v>609</v>
      </c>
      <c r="B314" t="s">
        <v>68</v>
      </c>
      <c r="C314" s="1">
        <v>17.37</v>
      </c>
      <c r="D314" s="1" t="s">
        <v>221</v>
      </c>
    </row>
    <row r="315" spans="1:4" x14ac:dyDescent="0.25">
      <c r="A315" s="1" t="s">
        <v>614</v>
      </c>
      <c r="B315" t="s">
        <v>1011</v>
      </c>
      <c r="C315" s="1">
        <v>17.38</v>
      </c>
      <c r="D315" s="1" t="s">
        <v>221</v>
      </c>
    </row>
    <row r="316" spans="1:4" x14ac:dyDescent="0.25">
      <c r="A316" s="1" t="s">
        <v>609</v>
      </c>
      <c r="B316" t="s">
        <v>65</v>
      </c>
      <c r="C316" s="1">
        <v>17.739999999999998</v>
      </c>
      <c r="D316" s="1" t="s">
        <v>221</v>
      </c>
    </row>
    <row r="317" spans="1:4" x14ac:dyDescent="0.25">
      <c r="A317" s="1" t="s">
        <v>614</v>
      </c>
      <c r="B317" t="s">
        <v>1008</v>
      </c>
      <c r="C317" s="1">
        <v>17.77</v>
      </c>
      <c r="D317" s="1" t="s">
        <v>221</v>
      </c>
    </row>
    <row r="318" spans="1:4" x14ac:dyDescent="0.25">
      <c r="A318" s="1" t="s">
        <v>630</v>
      </c>
      <c r="B318" t="s">
        <v>813</v>
      </c>
      <c r="C318" s="1">
        <v>17.84</v>
      </c>
      <c r="D318" s="1" t="s">
        <v>221</v>
      </c>
    </row>
    <row r="319" spans="1:4" x14ac:dyDescent="0.25">
      <c r="A319" s="1" t="s">
        <v>633</v>
      </c>
      <c r="B319" t="s">
        <v>211</v>
      </c>
      <c r="C319" s="1">
        <v>17.91</v>
      </c>
      <c r="D319" s="1" t="s">
        <v>221</v>
      </c>
    </row>
    <row r="320" spans="1:4" x14ac:dyDescent="0.25">
      <c r="A320" s="1" t="s">
        <v>606</v>
      </c>
      <c r="B320" t="s">
        <v>55</v>
      </c>
      <c r="C320" s="1">
        <v>18.27</v>
      </c>
      <c r="D320" s="1" t="s">
        <v>221</v>
      </c>
    </row>
    <row r="321" spans="1:4" x14ac:dyDescent="0.25">
      <c r="A321" s="1" t="s">
        <v>628</v>
      </c>
      <c r="B321" t="s">
        <v>175</v>
      </c>
      <c r="C321" s="1">
        <v>18.37</v>
      </c>
      <c r="D321" s="1" t="s">
        <v>221</v>
      </c>
    </row>
    <row r="322" spans="1:4" x14ac:dyDescent="0.25">
      <c r="A322" s="1" t="s">
        <v>628</v>
      </c>
      <c r="B322" t="s">
        <v>179</v>
      </c>
      <c r="C322" s="1">
        <v>18.670000000000002</v>
      </c>
      <c r="D322" s="1" t="s">
        <v>221</v>
      </c>
    </row>
    <row r="323" spans="1:4" x14ac:dyDescent="0.25">
      <c r="A323" s="1" t="s">
        <v>622</v>
      </c>
      <c r="B323" t="s">
        <v>2788</v>
      </c>
      <c r="C323" s="1">
        <v>19.09</v>
      </c>
      <c r="D323" s="1" t="s">
        <v>221</v>
      </c>
    </row>
    <row r="324" spans="1:4" x14ac:dyDescent="0.25">
      <c r="A324" s="1" t="s">
        <v>611</v>
      </c>
      <c r="B324" t="s">
        <v>1043</v>
      </c>
      <c r="C324" s="1">
        <v>21.31</v>
      </c>
      <c r="D324" s="1" t="s">
        <v>221</v>
      </c>
    </row>
    <row r="325" spans="1:4" x14ac:dyDescent="0.25">
      <c r="A325" s="1" t="s">
        <v>602</v>
      </c>
      <c r="B325" t="s">
        <v>26</v>
      </c>
      <c r="C325" s="1">
        <v>21.66</v>
      </c>
      <c r="D325" s="1" t="s">
        <v>221</v>
      </c>
    </row>
    <row r="326" spans="1:4" x14ac:dyDescent="0.25">
      <c r="A326" s="1" t="s">
        <v>614</v>
      </c>
      <c r="B326" t="s">
        <v>1042</v>
      </c>
      <c r="C326" s="1">
        <v>22.04</v>
      </c>
      <c r="D326" s="1" t="s">
        <v>221</v>
      </c>
    </row>
    <row r="327" spans="1:4" x14ac:dyDescent="0.25">
      <c r="A327" s="1" t="s">
        <v>608</v>
      </c>
      <c r="B327" t="s">
        <v>61</v>
      </c>
      <c r="C327" s="1">
        <v>23.56</v>
      </c>
      <c r="D327" s="1" t="s">
        <v>221</v>
      </c>
    </row>
    <row r="328" spans="1:4" x14ac:dyDescent="0.25">
      <c r="A328" s="1" t="s">
        <v>601</v>
      </c>
      <c r="B328" t="s">
        <v>23</v>
      </c>
      <c r="C328" s="1">
        <v>24.03</v>
      </c>
      <c r="D328" s="1" t="s">
        <v>221</v>
      </c>
    </row>
    <row r="329" spans="1:4" x14ac:dyDescent="0.25">
      <c r="A329" s="1" t="s">
        <v>618</v>
      </c>
      <c r="B329" t="s">
        <v>151</v>
      </c>
      <c r="C329" s="1">
        <v>24.39</v>
      </c>
      <c r="D329" s="1" t="s">
        <v>221</v>
      </c>
    </row>
    <row r="330" spans="1:4" x14ac:dyDescent="0.25">
      <c r="A330" s="1" t="s">
        <v>612</v>
      </c>
      <c r="B330" t="s">
        <v>89</v>
      </c>
      <c r="C330" s="1">
        <v>26.37</v>
      </c>
      <c r="D330" s="1" t="s">
        <v>221</v>
      </c>
    </row>
    <row r="331" spans="1:4" x14ac:dyDescent="0.25">
      <c r="A331" s="1" t="s">
        <v>608</v>
      </c>
      <c r="B331" t="s">
        <v>64</v>
      </c>
      <c r="C331" s="1">
        <v>26.56</v>
      </c>
      <c r="D331" s="1" t="s">
        <v>221</v>
      </c>
    </row>
    <row r="332" spans="1:4" x14ac:dyDescent="0.25">
      <c r="A332" s="1" t="s">
        <v>608</v>
      </c>
      <c r="B332" t="s">
        <v>62</v>
      </c>
      <c r="C332" s="1">
        <v>26.65</v>
      </c>
      <c r="D332" s="1" t="s">
        <v>221</v>
      </c>
    </row>
    <row r="333" spans="1:4" x14ac:dyDescent="0.25">
      <c r="A333" s="1" t="s">
        <v>628</v>
      </c>
      <c r="B333" t="s">
        <v>176</v>
      </c>
      <c r="C333" s="1">
        <v>28.74</v>
      </c>
      <c r="D333" s="1" t="s">
        <v>221</v>
      </c>
    </row>
    <row r="334" spans="1:4" x14ac:dyDescent="0.25">
      <c r="A334" s="1" t="s">
        <v>630</v>
      </c>
      <c r="B334" t="s">
        <v>194</v>
      </c>
      <c r="C334" s="1">
        <v>29.15</v>
      </c>
      <c r="D334" s="1" t="s">
        <v>221</v>
      </c>
    </row>
    <row r="335" spans="1:4" x14ac:dyDescent="0.25">
      <c r="A335" s="1" t="s">
        <v>1012</v>
      </c>
      <c r="B335" t="s">
        <v>1013</v>
      </c>
      <c r="C335" s="1">
        <v>29.68</v>
      </c>
      <c r="D335" s="1" t="s">
        <v>221</v>
      </c>
    </row>
    <row r="336" spans="1:4" x14ac:dyDescent="0.25">
      <c r="A336" s="1" t="s">
        <v>635</v>
      </c>
      <c r="B336" t="s">
        <v>908</v>
      </c>
      <c r="C336" s="1">
        <v>31.34</v>
      </c>
      <c r="D336" s="1" t="s">
        <v>221</v>
      </c>
    </row>
    <row r="337" spans="1:4" x14ac:dyDescent="0.25">
      <c r="A337" s="1" t="s">
        <v>602</v>
      </c>
      <c r="B337" t="s">
        <v>25</v>
      </c>
      <c r="C337" s="1">
        <v>31.65</v>
      </c>
      <c r="D337" s="1" t="s">
        <v>221</v>
      </c>
    </row>
    <row r="338" spans="1:4" x14ac:dyDescent="0.25">
      <c r="A338" s="1" t="s">
        <v>605</v>
      </c>
      <c r="B338" t="s">
        <v>42</v>
      </c>
      <c r="C338" s="1">
        <v>31.65</v>
      </c>
      <c r="D338" s="1" t="s">
        <v>221</v>
      </c>
    </row>
    <row r="339" spans="1:4" x14ac:dyDescent="0.25">
      <c r="A339" s="1" t="s">
        <v>831</v>
      </c>
      <c r="B339" t="s">
        <v>832</v>
      </c>
      <c r="C339" s="1">
        <v>33.17</v>
      </c>
      <c r="D339" s="1" t="s">
        <v>221</v>
      </c>
    </row>
    <row r="340" spans="1:4" x14ac:dyDescent="0.25">
      <c r="A340" s="1" t="s">
        <v>614</v>
      </c>
      <c r="B340" t="s">
        <v>1044</v>
      </c>
      <c r="C340" s="1">
        <v>33.82</v>
      </c>
      <c r="D340" s="1" t="s">
        <v>221</v>
      </c>
    </row>
    <row r="341" spans="1:4" x14ac:dyDescent="0.25">
      <c r="A341" s="1" t="s">
        <v>632</v>
      </c>
      <c r="B341" t="s">
        <v>205</v>
      </c>
      <c r="C341" s="1">
        <v>34.43</v>
      </c>
      <c r="D341" s="1" t="s">
        <v>221</v>
      </c>
    </row>
    <row r="342" spans="1:4" x14ac:dyDescent="0.25">
      <c r="A342" s="1" t="s">
        <v>614</v>
      </c>
      <c r="B342" t="s">
        <v>36</v>
      </c>
      <c r="C342" s="1">
        <v>34.450000000000003</v>
      </c>
      <c r="D342" s="1" t="s">
        <v>221</v>
      </c>
    </row>
    <row r="343" spans="1:4" x14ac:dyDescent="0.25">
      <c r="A343" s="1" t="s">
        <v>630</v>
      </c>
      <c r="B343" t="s">
        <v>192</v>
      </c>
      <c r="C343" s="1">
        <v>35.369999999999997</v>
      </c>
      <c r="D343" s="1" t="s">
        <v>221</v>
      </c>
    </row>
    <row r="344" spans="1:4" x14ac:dyDescent="0.25">
      <c r="A344" s="1" t="s">
        <v>628</v>
      </c>
      <c r="B344" t="s">
        <v>1080</v>
      </c>
      <c r="C344" s="1">
        <v>35.53</v>
      </c>
      <c r="D344" s="1" t="s">
        <v>221</v>
      </c>
    </row>
    <row r="345" spans="1:4" x14ac:dyDescent="0.25">
      <c r="A345" s="1" t="s">
        <v>632</v>
      </c>
      <c r="B345" t="s">
        <v>202</v>
      </c>
      <c r="C345" s="1">
        <v>35.71</v>
      </c>
      <c r="D345" s="1" t="s">
        <v>221</v>
      </c>
    </row>
    <row r="346" spans="1:4" x14ac:dyDescent="0.25">
      <c r="A346" s="1" t="s">
        <v>602</v>
      </c>
      <c r="B346" t="s">
        <v>28</v>
      </c>
      <c r="C346" s="1">
        <v>35.840000000000003</v>
      </c>
      <c r="D346" s="1" t="s">
        <v>221</v>
      </c>
    </row>
    <row r="347" spans="1:4" x14ac:dyDescent="0.25">
      <c r="A347" s="1" t="s">
        <v>633</v>
      </c>
      <c r="B347" t="s">
        <v>2784</v>
      </c>
      <c r="C347" s="1">
        <v>37.46</v>
      </c>
      <c r="D347" s="1" t="s">
        <v>221</v>
      </c>
    </row>
    <row r="348" spans="1:4" x14ac:dyDescent="0.25">
      <c r="A348" s="1" t="s">
        <v>602</v>
      </c>
      <c r="B348" t="s">
        <v>835</v>
      </c>
      <c r="C348" s="1">
        <v>38.75</v>
      </c>
      <c r="D348" s="1" t="s">
        <v>221</v>
      </c>
    </row>
    <row r="349" spans="1:4" x14ac:dyDescent="0.25">
      <c r="A349" s="1" t="s">
        <v>630</v>
      </c>
      <c r="B349" t="s">
        <v>193</v>
      </c>
      <c r="C349" s="1">
        <v>40.049999999999997</v>
      </c>
      <c r="D349" s="1" t="s">
        <v>221</v>
      </c>
    </row>
    <row r="350" spans="1:4" x14ac:dyDescent="0.25">
      <c r="A350" s="1" t="s">
        <v>614</v>
      </c>
      <c r="B350" t="s">
        <v>895</v>
      </c>
      <c r="C350" s="1">
        <v>41.24</v>
      </c>
      <c r="D350" s="1" t="s">
        <v>221</v>
      </c>
    </row>
    <row r="351" spans="1:4" x14ac:dyDescent="0.25">
      <c r="A351" s="1" t="s">
        <v>628</v>
      </c>
      <c r="B351" t="s">
        <v>2778</v>
      </c>
      <c r="C351" s="1">
        <v>42.95</v>
      </c>
      <c r="D351" s="1" t="s">
        <v>221</v>
      </c>
    </row>
    <row r="352" spans="1:4" x14ac:dyDescent="0.25">
      <c r="A352" s="1" t="s">
        <v>609</v>
      </c>
      <c r="B352" t="s">
        <v>72</v>
      </c>
      <c r="C352" s="1">
        <v>47.37</v>
      </c>
      <c r="D352" s="1" t="s">
        <v>221</v>
      </c>
    </row>
    <row r="353" spans="1:4" x14ac:dyDescent="0.25">
      <c r="A353" s="1" t="s">
        <v>602</v>
      </c>
      <c r="B353" t="s">
        <v>30</v>
      </c>
      <c r="C353" s="1">
        <v>49.17</v>
      </c>
      <c r="D353" s="1" t="s">
        <v>221</v>
      </c>
    </row>
    <row r="354" spans="1:4" x14ac:dyDescent="0.25">
      <c r="A354" s="1" t="s">
        <v>632</v>
      </c>
      <c r="B354" t="s">
        <v>947</v>
      </c>
      <c r="C354" s="1">
        <v>61.51</v>
      </c>
      <c r="D354" s="1" t="s">
        <v>221</v>
      </c>
    </row>
    <row r="355" spans="1:4" x14ac:dyDescent="0.25">
      <c r="A355" s="1" t="s">
        <v>627</v>
      </c>
      <c r="B355" t="s">
        <v>124</v>
      </c>
      <c r="C355" s="1">
        <v>63.98</v>
      </c>
      <c r="D355" s="1" t="s">
        <v>221</v>
      </c>
    </row>
    <row r="356" spans="1:4" x14ac:dyDescent="0.25">
      <c r="A356" s="1" t="s">
        <v>601</v>
      </c>
      <c r="B356" t="s">
        <v>16</v>
      </c>
      <c r="D356" s="1" t="s">
        <v>222</v>
      </c>
    </row>
    <row r="357" spans="1:4" x14ac:dyDescent="0.25">
      <c r="A357" s="1" t="s">
        <v>603</v>
      </c>
      <c r="B357" t="s">
        <v>1006</v>
      </c>
      <c r="D357" s="1" t="s">
        <v>222</v>
      </c>
    </row>
    <row r="358" spans="1:4" x14ac:dyDescent="0.25">
      <c r="A358" s="1" t="s">
        <v>2616</v>
      </c>
      <c r="B358" t="s">
        <v>1334</v>
      </c>
      <c r="D358" s="1" t="s">
        <v>222</v>
      </c>
    </row>
    <row r="359" spans="1:4" x14ac:dyDescent="0.25">
      <c r="A359" s="1" t="s">
        <v>605</v>
      </c>
      <c r="B359" t="s">
        <v>38</v>
      </c>
      <c r="D359" s="1" t="s">
        <v>222</v>
      </c>
    </row>
    <row r="360" spans="1:4" x14ac:dyDescent="0.25">
      <c r="A360" s="1" t="s">
        <v>607</v>
      </c>
      <c r="B360" t="s">
        <v>2735</v>
      </c>
      <c r="D360" s="1" t="s">
        <v>222</v>
      </c>
    </row>
    <row r="361" spans="1:4" x14ac:dyDescent="0.25">
      <c r="A361" s="1" t="s">
        <v>608</v>
      </c>
      <c r="B361" t="s">
        <v>63</v>
      </c>
      <c r="D361" s="1" t="s">
        <v>222</v>
      </c>
    </row>
    <row r="362" spans="1:4" x14ac:dyDescent="0.25">
      <c r="A362" s="1" t="s">
        <v>609</v>
      </c>
      <c r="B362" t="s">
        <v>69</v>
      </c>
      <c r="D362" s="1" t="s">
        <v>222</v>
      </c>
    </row>
    <row r="363" spans="1:4" x14ac:dyDescent="0.25">
      <c r="A363" s="1" t="s">
        <v>609</v>
      </c>
      <c r="B363" t="s">
        <v>71</v>
      </c>
      <c r="D363" s="1" t="s">
        <v>222</v>
      </c>
    </row>
    <row r="364" spans="1:4" x14ac:dyDescent="0.25">
      <c r="A364" s="1" t="s">
        <v>609</v>
      </c>
      <c r="B364" t="s">
        <v>487</v>
      </c>
      <c r="D364" s="1" t="s">
        <v>222</v>
      </c>
    </row>
    <row r="365" spans="1:4" x14ac:dyDescent="0.25">
      <c r="A365" s="1" t="s">
        <v>609</v>
      </c>
      <c r="B365" t="s">
        <v>74</v>
      </c>
      <c r="D365" s="1" t="s">
        <v>222</v>
      </c>
    </row>
    <row r="366" spans="1:4" x14ac:dyDescent="0.25">
      <c r="A366" s="1" t="s">
        <v>611</v>
      </c>
      <c r="B366" t="s">
        <v>81</v>
      </c>
      <c r="D366" s="1" t="s">
        <v>222</v>
      </c>
    </row>
    <row r="367" spans="1:4" x14ac:dyDescent="0.25">
      <c r="A367" s="1" t="s">
        <v>612</v>
      </c>
      <c r="B367" t="s">
        <v>86</v>
      </c>
      <c r="D367" s="1" t="s">
        <v>222</v>
      </c>
    </row>
    <row r="368" spans="1:4" x14ac:dyDescent="0.25">
      <c r="A368" s="1" t="s">
        <v>614</v>
      </c>
      <c r="B368" t="s">
        <v>1009</v>
      </c>
      <c r="D368" s="1" t="s">
        <v>222</v>
      </c>
    </row>
    <row r="369" spans="1:4" x14ac:dyDescent="0.25">
      <c r="A369" s="1" t="s">
        <v>614</v>
      </c>
      <c r="B369" t="s">
        <v>945</v>
      </c>
      <c r="D369" s="1" t="s">
        <v>222</v>
      </c>
    </row>
    <row r="370" spans="1:4" x14ac:dyDescent="0.25">
      <c r="A370" s="1" t="s">
        <v>616</v>
      </c>
      <c r="B370" t="s">
        <v>141</v>
      </c>
      <c r="D370" s="1" t="s">
        <v>222</v>
      </c>
    </row>
    <row r="371" spans="1:4" x14ac:dyDescent="0.25">
      <c r="A371" s="1" t="s">
        <v>1012</v>
      </c>
      <c r="B371" t="s">
        <v>1533</v>
      </c>
      <c r="D371" s="1" t="s">
        <v>222</v>
      </c>
    </row>
    <row r="372" spans="1:4" x14ac:dyDescent="0.25">
      <c r="A372" s="1" t="s">
        <v>618</v>
      </c>
      <c r="B372" t="s">
        <v>1006</v>
      </c>
      <c r="D372" s="1" t="s">
        <v>222</v>
      </c>
    </row>
    <row r="373" spans="1:4" x14ac:dyDescent="0.25">
      <c r="A373" s="1" t="s">
        <v>620</v>
      </c>
      <c r="B373" t="s">
        <v>621</v>
      </c>
      <c r="D373" s="1" t="s">
        <v>222</v>
      </c>
    </row>
    <row r="374" spans="1:4" x14ac:dyDescent="0.25">
      <c r="A374" s="1" t="s">
        <v>623</v>
      </c>
      <c r="B374" t="s">
        <v>164</v>
      </c>
      <c r="D374" s="1" t="s">
        <v>222</v>
      </c>
    </row>
    <row r="375" spans="1:4" x14ac:dyDescent="0.25">
      <c r="A375" s="1" t="s">
        <v>2808</v>
      </c>
      <c r="B375" t="s">
        <v>2813</v>
      </c>
      <c r="D375" s="1" t="s">
        <v>222</v>
      </c>
    </row>
    <row r="376" spans="1:4" x14ac:dyDescent="0.25">
      <c r="A376" s="1" t="s">
        <v>630</v>
      </c>
      <c r="B376" t="s">
        <v>195</v>
      </c>
      <c r="D376" s="1" t="s">
        <v>222</v>
      </c>
    </row>
    <row r="377" spans="1:4" x14ac:dyDescent="0.25">
      <c r="A377" s="1" t="s">
        <v>633</v>
      </c>
      <c r="B377" t="s">
        <v>214</v>
      </c>
      <c r="D377" s="1" t="s">
        <v>222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3DAB-CCA0-4942-8749-735D569B4890}">
  <dimension ref="A1:B309"/>
  <sheetViews>
    <sheetView workbookViewId="0">
      <selection activeCell="B56" sqref="B56"/>
    </sheetView>
  </sheetViews>
  <sheetFormatPr defaultRowHeight="15" x14ac:dyDescent="0.25"/>
  <cols>
    <col min="1" max="1" width="18.42578125" bestFit="1" customWidth="1"/>
    <col min="2" max="2" width="33.28515625" bestFit="1" customWidth="1"/>
    <col min="3" max="3" width="58.7109375" bestFit="1" customWidth="1"/>
  </cols>
  <sheetData>
    <row r="1" spans="1:2" x14ac:dyDescent="0.25">
      <c r="A1" t="s">
        <v>0</v>
      </c>
      <c r="B1" t="s">
        <v>653</v>
      </c>
    </row>
    <row r="2" spans="1:2" x14ac:dyDescent="0.25">
      <c r="A2" t="s">
        <v>611</v>
      </c>
      <c r="B2" t="s">
        <v>2840</v>
      </c>
    </row>
    <row r="3" spans="1:2" x14ac:dyDescent="0.25">
      <c r="A3" t="s">
        <v>629</v>
      </c>
      <c r="B3" t="s">
        <v>786</v>
      </c>
    </row>
    <row r="4" spans="1:2" x14ac:dyDescent="0.25">
      <c r="A4" t="s">
        <v>2808</v>
      </c>
      <c r="B4" t="s">
        <v>2819</v>
      </c>
    </row>
    <row r="5" spans="1:2" x14ac:dyDescent="0.25">
      <c r="A5" t="s">
        <v>612</v>
      </c>
      <c r="B5" t="s">
        <v>698</v>
      </c>
    </row>
    <row r="6" spans="1:2" x14ac:dyDescent="0.25">
      <c r="A6" t="s">
        <v>610</v>
      </c>
      <c r="B6" t="s">
        <v>693</v>
      </c>
    </row>
    <row r="7" spans="1:2" x14ac:dyDescent="0.25">
      <c r="A7" t="s">
        <v>616</v>
      </c>
      <c r="B7" t="s">
        <v>716</v>
      </c>
    </row>
    <row r="8" spans="1:2" x14ac:dyDescent="0.25">
      <c r="A8" t="s">
        <v>831</v>
      </c>
      <c r="B8" t="s">
        <v>909</v>
      </c>
    </row>
    <row r="9" spans="1:2" x14ac:dyDescent="0.25">
      <c r="A9" t="s">
        <v>633</v>
      </c>
      <c r="B9" t="s">
        <v>2712</v>
      </c>
    </row>
    <row r="10" spans="1:2" x14ac:dyDescent="0.25">
      <c r="A10" t="s">
        <v>627</v>
      </c>
      <c r="B10" t="s">
        <v>2615</v>
      </c>
    </row>
    <row r="11" spans="1:2" x14ac:dyDescent="0.25">
      <c r="A11" t="s">
        <v>627</v>
      </c>
      <c r="B11" t="s">
        <v>2604</v>
      </c>
    </row>
    <row r="12" spans="1:2" x14ac:dyDescent="0.25">
      <c r="A12" t="s">
        <v>603</v>
      </c>
      <c r="B12" t="s">
        <v>2608</v>
      </c>
    </row>
    <row r="13" spans="1:2" x14ac:dyDescent="0.25">
      <c r="A13" t="s">
        <v>609</v>
      </c>
      <c r="B13" t="s">
        <v>685</v>
      </c>
    </row>
    <row r="14" spans="1:2" x14ac:dyDescent="0.25">
      <c r="A14" t="s">
        <v>629</v>
      </c>
      <c r="B14" t="s">
        <v>2795</v>
      </c>
    </row>
    <row r="15" spans="1:2" x14ac:dyDescent="0.25">
      <c r="A15" t="s">
        <v>614</v>
      </c>
      <c r="B15" t="s">
        <v>711</v>
      </c>
    </row>
    <row r="16" spans="1:2" x14ac:dyDescent="0.25">
      <c r="A16" t="s">
        <v>623</v>
      </c>
      <c r="B16" t="s">
        <v>741</v>
      </c>
    </row>
    <row r="17" spans="1:2" x14ac:dyDescent="0.25">
      <c r="A17" t="s">
        <v>614</v>
      </c>
      <c r="B17" t="s">
        <v>904</v>
      </c>
    </row>
    <row r="18" spans="1:2" x14ac:dyDescent="0.25">
      <c r="A18" t="s">
        <v>1045</v>
      </c>
      <c r="B18" t="s">
        <v>1095</v>
      </c>
    </row>
    <row r="19" spans="1:2" x14ac:dyDescent="0.25">
      <c r="A19" t="s">
        <v>603</v>
      </c>
      <c r="B19" t="s">
        <v>1220</v>
      </c>
    </row>
    <row r="20" spans="1:2" x14ac:dyDescent="0.25">
      <c r="A20" t="s">
        <v>1045</v>
      </c>
      <c r="B20" t="s">
        <v>1098</v>
      </c>
    </row>
    <row r="21" spans="1:2" x14ac:dyDescent="0.25">
      <c r="A21" t="s">
        <v>831</v>
      </c>
      <c r="B21" t="s">
        <v>833</v>
      </c>
    </row>
    <row r="22" spans="1:2" x14ac:dyDescent="0.25">
      <c r="A22" t="s">
        <v>605</v>
      </c>
      <c r="B22" t="s">
        <v>1355</v>
      </c>
    </row>
    <row r="23" spans="1:2" x14ac:dyDescent="0.25">
      <c r="A23" t="s">
        <v>610</v>
      </c>
      <c r="B23" t="s">
        <v>824</v>
      </c>
    </row>
    <row r="24" spans="1:2" x14ac:dyDescent="0.25">
      <c r="A24" t="s">
        <v>633</v>
      </c>
      <c r="B24" t="s">
        <v>771</v>
      </c>
    </row>
    <row r="25" spans="1:2" x14ac:dyDescent="0.25">
      <c r="A25" t="s">
        <v>1012</v>
      </c>
      <c r="B25" t="s">
        <v>2794</v>
      </c>
    </row>
    <row r="26" spans="1:2" x14ac:dyDescent="0.25">
      <c r="A26" t="s">
        <v>614</v>
      </c>
      <c r="B26" t="s">
        <v>2610</v>
      </c>
    </row>
    <row r="27" spans="1:2" x14ac:dyDescent="0.25">
      <c r="A27" t="s">
        <v>628</v>
      </c>
      <c r="B27" t="s">
        <v>2841</v>
      </c>
    </row>
    <row r="28" spans="1:2" x14ac:dyDescent="0.25">
      <c r="A28" t="s">
        <v>2808</v>
      </c>
      <c r="B28" t="s">
        <v>2817</v>
      </c>
    </row>
    <row r="29" spans="1:2" x14ac:dyDescent="0.25">
      <c r="A29" t="s">
        <v>605</v>
      </c>
      <c r="B29" t="s">
        <v>671</v>
      </c>
    </row>
    <row r="30" spans="1:2" x14ac:dyDescent="0.25">
      <c r="A30" t="s">
        <v>614</v>
      </c>
      <c r="B30" t="s">
        <v>1036</v>
      </c>
    </row>
    <row r="31" spans="1:2" x14ac:dyDescent="0.25">
      <c r="A31" t="s">
        <v>609</v>
      </c>
      <c r="B31" t="s">
        <v>688</v>
      </c>
    </row>
    <row r="32" spans="1:2" x14ac:dyDescent="0.25">
      <c r="A32" t="s">
        <v>627</v>
      </c>
      <c r="B32" t="s">
        <v>2388</v>
      </c>
    </row>
    <row r="33" spans="1:2" x14ac:dyDescent="0.25">
      <c r="A33" t="s">
        <v>610</v>
      </c>
      <c r="B33" t="s">
        <v>822</v>
      </c>
    </row>
    <row r="34" spans="1:2" x14ac:dyDescent="0.25">
      <c r="A34" t="s">
        <v>616</v>
      </c>
      <c r="B34" t="s">
        <v>715</v>
      </c>
    </row>
    <row r="35" spans="1:2" x14ac:dyDescent="0.25">
      <c r="A35" t="s">
        <v>632</v>
      </c>
      <c r="B35" t="s">
        <v>1622</v>
      </c>
    </row>
    <row r="36" spans="1:2" x14ac:dyDescent="0.25">
      <c r="A36" t="s">
        <v>2808</v>
      </c>
      <c r="B36" t="s">
        <v>2818</v>
      </c>
    </row>
    <row r="37" spans="1:2" x14ac:dyDescent="0.25">
      <c r="A37" t="s">
        <v>831</v>
      </c>
      <c r="B37" t="s">
        <v>949</v>
      </c>
    </row>
    <row r="38" spans="1:2" x14ac:dyDescent="0.25">
      <c r="A38" t="s">
        <v>632</v>
      </c>
      <c r="B38" t="s">
        <v>911</v>
      </c>
    </row>
    <row r="39" spans="1:2" x14ac:dyDescent="0.25">
      <c r="A39" t="s">
        <v>614</v>
      </c>
      <c r="B39" t="s">
        <v>1035</v>
      </c>
    </row>
    <row r="40" spans="1:2" x14ac:dyDescent="0.25">
      <c r="A40" t="s">
        <v>602</v>
      </c>
      <c r="B40" t="s">
        <v>654</v>
      </c>
    </row>
    <row r="41" spans="1:2" x14ac:dyDescent="0.25">
      <c r="A41" t="s">
        <v>613</v>
      </c>
      <c r="B41" t="s">
        <v>704</v>
      </c>
    </row>
    <row r="42" spans="1:2" x14ac:dyDescent="0.25">
      <c r="A42" t="s">
        <v>1045</v>
      </c>
      <c r="B42" t="s">
        <v>1090</v>
      </c>
    </row>
    <row r="43" spans="1:2" x14ac:dyDescent="0.25">
      <c r="A43" t="s">
        <v>633</v>
      </c>
      <c r="B43" t="s">
        <v>1040</v>
      </c>
    </row>
    <row r="44" spans="1:2" x14ac:dyDescent="0.25">
      <c r="A44" t="s">
        <v>612</v>
      </c>
      <c r="B44" t="s">
        <v>699</v>
      </c>
    </row>
    <row r="45" spans="1:2" x14ac:dyDescent="0.25">
      <c r="A45" t="s">
        <v>602</v>
      </c>
      <c r="B45" t="s">
        <v>655</v>
      </c>
    </row>
    <row r="46" spans="1:2" x14ac:dyDescent="0.25">
      <c r="A46" t="s">
        <v>623</v>
      </c>
      <c r="B46" t="s">
        <v>781</v>
      </c>
    </row>
    <row r="47" spans="1:2" x14ac:dyDescent="0.25">
      <c r="A47" t="s">
        <v>603</v>
      </c>
      <c r="B47" t="s">
        <v>663</v>
      </c>
    </row>
    <row r="48" spans="1:2" x14ac:dyDescent="0.25">
      <c r="A48" t="s">
        <v>628</v>
      </c>
      <c r="B48" t="s">
        <v>754</v>
      </c>
    </row>
    <row r="49" spans="1:2" x14ac:dyDescent="0.25">
      <c r="A49" t="s">
        <v>622</v>
      </c>
      <c r="B49" t="s">
        <v>2235</v>
      </c>
    </row>
    <row r="50" spans="1:2" x14ac:dyDescent="0.25">
      <c r="A50" t="s">
        <v>632</v>
      </c>
      <c r="B50" t="s">
        <v>2708</v>
      </c>
    </row>
    <row r="51" spans="1:2" x14ac:dyDescent="0.25">
      <c r="A51" t="s">
        <v>615</v>
      </c>
      <c r="B51" t="s">
        <v>1868</v>
      </c>
    </row>
    <row r="52" spans="1:2" x14ac:dyDescent="0.25">
      <c r="A52" t="s">
        <v>2808</v>
      </c>
      <c r="B52" t="s">
        <v>2325</v>
      </c>
    </row>
    <row r="53" spans="1:2" x14ac:dyDescent="0.25">
      <c r="A53" t="s">
        <v>1012</v>
      </c>
      <c r="B53" t="s">
        <v>1497</v>
      </c>
    </row>
    <row r="54" spans="1:2" x14ac:dyDescent="0.25">
      <c r="A54" t="s">
        <v>629</v>
      </c>
      <c r="B54" t="s">
        <v>881</v>
      </c>
    </row>
    <row r="55" spans="1:2" x14ac:dyDescent="0.25">
      <c r="A55" t="s">
        <v>601</v>
      </c>
      <c r="B55" t="s">
        <v>2837</v>
      </c>
    </row>
    <row r="56" spans="1:2" x14ac:dyDescent="0.25">
      <c r="A56" t="s">
        <v>633</v>
      </c>
      <c r="B56" t="s">
        <v>2711</v>
      </c>
    </row>
    <row r="57" spans="1:2" x14ac:dyDescent="0.25">
      <c r="A57" t="s">
        <v>1045</v>
      </c>
      <c r="B57" t="s">
        <v>2614</v>
      </c>
    </row>
    <row r="58" spans="1:2" x14ac:dyDescent="0.25">
      <c r="A58" t="s">
        <v>628</v>
      </c>
      <c r="B58" t="s">
        <v>2718</v>
      </c>
    </row>
    <row r="59" spans="1:2" x14ac:dyDescent="0.25">
      <c r="A59" t="s">
        <v>1045</v>
      </c>
      <c r="B59" t="s">
        <v>1091</v>
      </c>
    </row>
    <row r="60" spans="1:2" x14ac:dyDescent="0.25">
      <c r="A60" t="s">
        <v>608</v>
      </c>
      <c r="B60" t="s">
        <v>680</v>
      </c>
    </row>
    <row r="61" spans="1:2" x14ac:dyDescent="0.25">
      <c r="A61" t="s">
        <v>831</v>
      </c>
      <c r="B61" t="s">
        <v>680</v>
      </c>
    </row>
    <row r="62" spans="1:2" x14ac:dyDescent="0.25">
      <c r="A62" t="s">
        <v>627</v>
      </c>
      <c r="B62" t="s">
        <v>680</v>
      </c>
    </row>
    <row r="63" spans="1:2" x14ac:dyDescent="0.25">
      <c r="A63" t="s">
        <v>633</v>
      </c>
      <c r="B63" t="s">
        <v>680</v>
      </c>
    </row>
    <row r="64" spans="1:2" x14ac:dyDescent="0.25">
      <c r="A64" t="s">
        <v>601</v>
      </c>
      <c r="B64" t="s">
        <v>1081</v>
      </c>
    </row>
    <row r="65" spans="1:2" x14ac:dyDescent="0.25">
      <c r="A65" t="s">
        <v>915</v>
      </c>
      <c r="B65" t="s">
        <v>1111</v>
      </c>
    </row>
    <row r="66" spans="1:2" x14ac:dyDescent="0.25">
      <c r="A66" t="s">
        <v>623</v>
      </c>
      <c r="B66" t="s">
        <v>2786</v>
      </c>
    </row>
    <row r="67" spans="1:2" x14ac:dyDescent="0.25">
      <c r="A67" t="s">
        <v>633</v>
      </c>
      <c r="B67" t="s">
        <v>2563</v>
      </c>
    </row>
    <row r="68" spans="1:2" x14ac:dyDescent="0.25">
      <c r="A68" t="s">
        <v>612</v>
      </c>
      <c r="B68" t="s">
        <v>697</v>
      </c>
    </row>
    <row r="69" spans="1:2" x14ac:dyDescent="0.25">
      <c r="A69" t="s">
        <v>601</v>
      </c>
      <c r="B69" t="s">
        <v>2838</v>
      </c>
    </row>
    <row r="70" spans="1:2" x14ac:dyDescent="0.25">
      <c r="A70" t="s">
        <v>604</v>
      </c>
      <c r="B70" t="s">
        <v>642</v>
      </c>
    </row>
    <row r="71" spans="1:2" x14ac:dyDescent="0.25">
      <c r="A71" t="s">
        <v>605</v>
      </c>
      <c r="B71" t="s">
        <v>642</v>
      </c>
    </row>
    <row r="72" spans="1:2" x14ac:dyDescent="0.25">
      <c r="A72" t="s">
        <v>609</v>
      </c>
      <c r="B72" t="s">
        <v>642</v>
      </c>
    </row>
    <row r="73" spans="1:2" x14ac:dyDescent="0.25">
      <c r="A73" t="s">
        <v>609</v>
      </c>
      <c r="B73" t="s">
        <v>642</v>
      </c>
    </row>
    <row r="74" spans="1:2" x14ac:dyDescent="0.25">
      <c r="A74" t="s">
        <v>609</v>
      </c>
      <c r="B74" t="s">
        <v>642</v>
      </c>
    </row>
    <row r="75" spans="1:2" x14ac:dyDescent="0.25">
      <c r="A75" t="s">
        <v>609</v>
      </c>
      <c r="B75" t="s">
        <v>642</v>
      </c>
    </row>
    <row r="76" spans="1:2" x14ac:dyDescent="0.25">
      <c r="A76" t="s">
        <v>1012</v>
      </c>
      <c r="B76" t="s">
        <v>642</v>
      </c>
    </row>
    <row r="77" spans="1:2" x14ac:dyDescent="0.25">
      <c r="A77" t="s">
        <v>633</v>
      </c>
      <c r="B77" t="s">
        <v>2562</v>
      </c>
    </row>
    <row r="78" spans="1:2" x14ac:dyDescent="0.25">
      <c r="A78" t="s">
        <v>616</v>
      </c>
      <c r="B78" t="s">
        <v>721</v>
      </c>
    </row>
    <row r="79" spans="1:2" x14ac:dyDescent="0.25">
      <c r="A79" t="s">
        <v>608</v>
      </c>
      <c r="B79" t="s">
        <v>166</v>
      </c>
    </row>
    <row r="80" spans="1:2" x14ac:dyDescent="0.25">
      <c r="A80" t="s">
        <v>633</v>
      </c>
      <c r="B80" t="s">
        <v>767</v>
      </c>
    </row>
    <row r="81" spans="1:2" x14ac:dyDescent="0.25">
      <c r="A81" t="s">
        <v>610</v>
      </c>
      <c r="B81" t="s">
        <v>820</v>
      </c>
    </row>
    <row r="82" spans="1:2" x14ac:dyDescent="0.25">
      <c r="A82" t="s">
        <v>615</v>
      </c>
      <c r="B82" t="s">
        <v>1867</v>
      </c>
    </row>
    <row r="83" spans="1:2" x14ac:dyDescent="0.25">
      <c r="A83" t="s">
        <v>632</v>
      </c>
      <c r="B83" t="s">
        <v>761</v>
      </c>
    </row>
    <row r="84" spans="1:2" x14ac:dyDescent="0.25">
      <c r="A84" t="s">
        <v>620</v>
      </c>
      <c r="B84" t="s">
        <v>735</v>
      </c>
    </row>
    <row r="85" spans="1:2" x14ac:dyDescent="0.25">
      <c r="A85" t="s">
        <v>627</v>
      </c>
      <c r="B85" t="s">
        <v>2385</v>
      </c>
    </row>
    <row r="86" spans="1:2" x14ac:dyDescent="0.25">
      <c r="A86" t="s">
        <v>628</v>
      </c>
      <c r="B86" t="s">
        <v>2842</v>
      </c>
    </row>
    <row r="87" spans="1:2" x14ac:dyDescent="0.25">
      <c r="A87" t="s">
        <v>618</v>
      </c>
      <c r="B87" t="s">
        <v>1039</v>
      </c>
    </row>
    <row r="88" spans="1:2" x14ac:dyDescent="0.25">
      <c r="A88" t="s">
        <v>635</v>
      </c>
      <c r="B88" t="s">
        <v>2606</v>
      </c>
    </row>
    <row r="89" spans="1:2" x14ac:dyDescent="0.25">
      <c r="A89" t="s">
        <v>601</v>
      </c>
      <c r="B89" t="s">
        <v>19</v>
      </c>
    </row>
    <row r="90" spans="1:2" x14ac:dyDescent="0.25">
      <c r="A90" t="s">
        <v>614</v>
      </c>
      <c r="B90" t="s">
        <v>896</v>
      </c>
    </row>
    <row r="91" spans="1:2" x14ac:dyDescent="0.25">
      <c r="A91" t="s">
        <v>627</v>
      </c>
      <c r="B91" t="s">
        <v>749</v>
      </c>
    </row>
    <row r="92" spans="1:2" x14ac:dyDescent="0.25">
      <c r="A92" t="s">
        <v>1012</v>
      </c>
      <c r="B92" t="s">
        <v>1088</v>
      </c>
    </row>
    <row r="93" spans="1:2" x14ac:dyDescent="0.25">
      <c r="A93" t="s">
        <v>601</v>
      </c>
      <c r="B93" t="s">
        <v>2836</v>
      </c>
    </row>
    <row r="94" spans="1:2" x14ac:dyDescent="0.25">
      <c r="A94" t="s">
        <v>612</v>
      </c>
      <c r="B94" t="s">
        <v>696</v>
      </c>
    </row>
    <row r="95" spans="1:2" x14ac:dyDescent="0.25">
      <c r="A95" t="s">
        <v>607</v>
      </c>
      <c r="B95" t="s">
        <v>676</v>
      </c>
    </row>
    <row r="96" spans="1:2" x14ac:dyDescent="0.25">
      <c r="A96" t="s">
        <v>1012</v>
      </c>
      <c r="B96" t="s">
        <v>2545</v>
      </c>
    </row>
    <row r="97" spans="1:2" x14ac:dyDescent="0.25">
      <c r="A97" t="s">
        <v>605</v>
      </c>
      <c r="B97" t="s">
        <v>661</v>
      </c>
    </row>
    <row r="98" spans="1:2" x14ac:dyDescent="0.25">
      <c r="A98" t="s">
        <v>628</v>
      </c>
      <c r="B98" t="s">
        <v>2843</v>
      </c>
    </row>
    <row r="99" spans="1:2" x14ac:dyDescent="0.25">
      <c r="A99" t="s">
        <v>622</v>
      </c>
      <c r="B99" t="s">
        <v>828</v>
      </c>
    </row>
    <row r="100" spans="1:2" x14ac:dyDescent="0.25">
      <c r="A100" t="s">
        <v>613</v>
      </c>
      <c r="B100" t="s">
        <v>708</v>
      </c>
    </row>
    <row r="101" spans="1:2" x14ac:dyDescent="0.25">
      <c r="A101" t="s">
        <v>614</v>
      </c>
      <c r="B101" t="s">
        <v>652</v>
      </c>
    </row>
    <row r="102" spans="1:2" x14ac:dyDescent="0.25">
      <c r="A102" t="s">
        <v>613</v>
      </c>
      <c r="B102" t="s">
        <v>703</v>
      </c>
    </row>
    <row r="103" spans="1:2" x14ac:dyDescent="0.25">
      <c r="A103" t="s">
        <v>603</v>
      </c>
      <c r="B103" t="s">
        <v>664</v>
      </c>
    </row>
    <row r="104" spans="1:2" x14ac:dyDescent="0.25">
      <c r="A104" t="s">
        <v>601</v>
      </c>
      <c r="B104" t="s">
        <v>681</v>
      </c>
    </row>
    <row r="105" spans="1:2" x14ac:dyDescent="0.25">
      <c r="A105" t="s">
        <v>601</v>
      </c>
      <c r="B105" t="s">
        <v>681</v>
      </c>
    </row>
    <row r="106" spans="1:2" x14ac:dyDescent="0.25">
      <c r="A106" t="s">
        <v>608</v>
      </c>
      <c r="B106" t="s">
        <v>681</v>
      </c>
    </row>
    <row r="107" spans="1:2" x14ac:dyDescent="0.25">
      <c r="A107" t="s">
        <v>609</v>
      </c>
      <c r="B107" t="s">
        <v>681</v>
      </c>
    </row>
    <row r="108" spans="1:2" x14ac:dyDescent="0.25">
      <c r="A108" t="s">
        <v>610</v>
      </c>
      <c r="B108" t="s">
        <v>681</v>
      </c>
    </row>
    <row r="109" spans="1:2" x14ac:dyDescent="0.25">
      <c r="A109" t="s">
        <v>611</v>
      </c>
      <c r="B109" t="s">
        <v>681</v>
      </c>
    </row>
    <row r="110" spans="1:2" x14ac:dyDescent="0.25">
      <c r="A110" t="s">
        <v>611</v>
      </c>
      <c r="B110" t="s">
        <v>681</v>
      </c>
    </row>
    <row r="111" spans="1:2" x14ac:dyDescent="0.25">
      <c r="A111" t="s">
        <v>611</v>
      </c>
      <c r="B111" t="s">
        <v>681</v>
      </c>
    </row>
    <row r="112" spans="1:2" x14ac:dyDescent="0.25">
      <c r="A112" t="s">
        <v>612</v>
      </c>
      <c r="B112" t="s">
        <v>681</v>
      </c>
    </row>
    <row r="113" spans="1:2" x14ac:dyDescent="0.25">
      <c r="A113" t="s">
        <v>612</v>
      </c>
      <c r="B113" t="s">
        <v>681</v>
      </c>
    </row>
    <row r="114" spans="1:2" x14ac:dyDescent="0.25">
      <c r="A114" t="s">
        <v>612</v>
      </c>
      <c r="B114" t="s">
        <v>681</v>
      </c>
    </row>
    <row r="115" spans="1:2" x14ac:dyDescent="0.25">
      <c r="A115" t="s">
        <v>831</v>
      </c>
      <c r="B115" t="s">
        <v>681</v>
      </c>
    </row>
    <row r="116" spans="1:2" x14ac:dyDescent="0.25">
      <c r="A116" t="s">
        <v>831</v>
      </c>
      <c r="B116" t="s">
        <v>681</v>
      </c>
    </row>
    <row r="117" spans="1:2" x14ac:dyDescent="0.25">
      <c r="A117" t="s">
        <v>615</v>
      </c>
      <c r="B117" t="s">
        <v>681</v>
      </c>
    </row>
    <row r="118" spans="1:2" x14ac:dyDescent="0.25">
      <c r="A118" t="s">
        <v>616</v>
      </c>
      <c r="B118" t="s">
        <v>681</v>
      </c>
    </row>
    <row r="119" spans="1:2" x14ac:dyDescent="0.25">
      <c r="A119" t="s">
        <v>622</v>
      </c>
      <c r="B119" t="s">
        <v>681</v>
      </c>
    </row>
    <row r="120" spans="1:2" x14ac:dyDescent="0.25">
      <c r="A120" t="s">
        <v>622</v>
      </c>
      <c r="B120" t="s">
        <v>681</v>
      </c>
    </row>
    <row r="121" spans="1:2" x14ac:dyDescent="0.25">
      <c r="A121" t="s">
        <v>2808</v>
      </c>
      <c r="B121" t="s">
        <v>681</v>
      </c>
    </row>
    <row r="122" spans="1:2" x14ac:dyDescent="0.25">
      <c r="A122" t="s">
        <v>2808</v>
      </c>
      <c r="B122" t="s">
        <v>681</v>
      </c>
    </row>
    <row r="123" spans="1:2" x14ac:dyDescent="0.25">
      <c r="A123" t="s">
        <v>2808</v>
      </c>
      <c r="B123" t="s">
        <v>681</v>
      </c>
    </row>
    <row r="124" spans="1:2" x14ac:dyDescent="0.25">
      <c r="A124" t="s">
        <v>2808</v>
      </c>
      <c r="B124" t="s">
        <v>681</v>
      </c>
    </row>
    <row r="125" spans="1:2" x14ac:dyDescent="0.25">
      <c r="A125" t="s">
        <v>628</v>
      </c>
      <c r="B125" t="s">
        <v>681</v>
      </c>
    </row>
    <row r="126" spans="1:2" x14ac:dyDescent="0.25">
      <c r="A126" t="s">
        <v>629</v>
      </c>
      <c r="B126" t="s">
        <v>681</v>
      </c>
    </row>
    <row r="127" spans="1:2" x14ac:dyDescent="0.25">
      <c r="A127" t="s">
        <v>630</v>
      </c>
      <c r="B127" t="s">
        <v>681</v>
      </c>
    </row>
    <row r="128" spans="1:2" x14ac:dyDescent="0.25">
      <c r="A128" t="s">
        <v>630</v>
      </c>
      <c r="B128" t="s">
        <v>681</v>
      </c>
    </row>
    <row r="129" spans="1:2" x14ac:dyDescent="0.25">
      <c r="A129" t="s">
        <v>630</v>
      </c>
      <c r="B129" t="s">
        <v>681</v>
      </c>
    </row>
    <row r="130" spans="1:2" x14ac:dyDescent="0.25">
      <c r="A130" t="s">
        <v>606</v>
      </c>
      <c r="B130" t="s">
        <v>1387</v>
      </c>
    </row>
    <row r="131" spans="1:2" x14ac:dyDescent="0.25">
      <c r="A131" t="s">
        <v>632</v>
      </c>
      <c r="B131" t="s">
        <v>760</v>
      </c>
    </row>
    <row r="132" spans="1:2" x14ac:dyDescent="0.25">
      <c r="A132" t="s">
        <v>618</v>
      </c>
      <c r="B132" t="s">
        <v>2612</v>
      </c>
    </row>
    <row r="133" spans="1:2" x14ac:dyDescent="0.25">
      <c r="A133" t="s">
        <v>630</v>
      </c>
      <c r="B133" t="s">
        <v>756</v>
      </c>
    </row>
    <row r="134" spans="1:2" x14ac:dyDescent="0.25">
      <c r="A134" t="s">
        <v>623</v>
      </c>
      <c r="B134" t="s">
        <v>739</v>
      </c>
    </row>
    <row r="135" spans="1:2" x14ac:dyDescent="0.25">
      <c r="A135" t="s">
        <v>605</v>
      </c>
      <c r="B135" t="s">
        <v>666</v>
      </c>
    </row>
    <row r="136" spans="1:2" x14ac:dyDescent="0.25">
      <c r="A136" t="s">
        <v>628</v>
      </c>
      <c r="B136" t="s">
        <v>1102</v>
      </c>
    </row>
    <row r="137" spans="1:2" x14ac:dyDescent="0.25">
      <c r="A137" t="s">
        <v>602</v>
      </c>
      <c r="B137" t="s">
        <v>1846</v>
      </c>
    </row>
    <row r="138" spans="1:2" x14ac:dyDescent="0.25">
      <c r="A138" t="s">
        <v>602</v>
      </c>
      <c r="B138" t="s">
        <v>662</v>
      </c>
    </row>
    <row r="139" spans="1:2" x14ac:dyDescent="0.25">
      <c r="A139" t="s">
        <v>617</v>
      </c>
      <c r="B139" t="s">
        <v>2007</v>
      </c>
    </row>
    <row r="140" spans="1:2" x14ac:dyDescent="0.25">
      <c r="A140" t="s">
        <v>627</v>
      </c>
      <c r="B140" t="s">
        <v>751</v>
      </c>
    </row>
    <row r="141" spans="1:2" x14ac:dyDescent="0.25">
      <c r="A141" t="s">
        <v>614</v>
      </c>
      <c r="B141" t="s">
        <v>712</v>
      </c>
    </row>
    <row r="142" spans="1:2" x14ac:dyDescent="0.25">
      <c r="A142" t="s">
        <v>608</v>
      </c>
      <c r="B142" t="s">
        <v>682</v>
      </c>
    </row>
    <row r="143" spans="1:2" x14ac:dyDescent="0.25">
      <c r="A143" t="s">
        <v>1012</v>
      </c>
      <c r="B143" t="s">
        <v>1048</v>
      </c>
    </row>
    <row r="144" spans="1:2" x14ac:dyDescent="0.25">
      <c r="A144" t="s">
        <v>2808</v>
      </c>
      <c r="B144" t="s">
        <v>2815</v>
      </c>
    </row>
    <row r="145" spans="1:2" x14ac:dyDescent="0.25">
      <c r="A145" t="s">
        <v>614</v>
      </c>
      <c r="B145" t="s">
        <v>1086</v>
      </c>
    </row>
    <row r="146" spans="1:2" x14ac:dyDescent="0.25">
      <c r="A146" t="s">
        <v>602</v>
      </c>
      <c r="B146" t="s">
        <v>659</v>
      </c>
    </row>
    <row r="147" spans="1:2" x14ac:dyDescent="0.25">
      <c r="A147" t="s">
        <v>609</v>
      </c>
      <c r="B147" t="s">
        <v>687</v>
      </c>
    </row>
    <row r="148" spans="1:2" x14ac:dyDescent="0.25">
      <c r="A148" t="s">
        <v>606</v>
      </c>
      <c r="B148" t="s">
        <v>906</v>
      </c>
    </row>
    <row r="149" spans="1:2" x14ac:dyDescent="0.25">
      <c r="A149" t="s">
        <v>614</v>
      </c>
      <c r="B149" t="s">
        <v>906</v>
      </c>
    </row>
    <row r="150" spans="1:2" x14ac:dyDescent="0.25">
      <c r="A150" t="s">
        <v>2808</v>
      </c>
      <c r="B150" t="s">
        <v>2821</v>
      </c>
    </row>
    <row r="151" spans="1:2" x14ac:dyDescent="0.25">
      <c r="A151" t="s">
        <v>602</v>
      </c>
      <c r="B151" t="s">
        <v>773</v>
      </c>
    </row>
    <row r="152" spans="1:2" x14ac:dyDescent="0.25">
      <c r="A152" t="s">
        <v>602</v>
      </c>
      <c r="B152" t="s">
        <v>776</v>
      </c>
    </row>
    <row r="153" spans="1:2" x14ac:dyDescent="0.25">
      <c r="A153" t="s">
        <v>610</v>
      </c>
      <c r="B153" t="s">
        <v>817</v>
      </c>
    </row>
    <row r="154" spans="1:2" x14ac:dyDescent="0.25">
      <c r="A154" t="s">
        <v>2808</v>
      </c>
      <c r="B154" t="s">
        <v>817</v>
      </c>
    </row>
    <row r="155" spans="1:2" x14ac:dyDescent="0.25">
      <c r="A155" t="s">
        <v>620</v>
      </c>
      <c r="B155" t="s">
        <v>733</v>
      </c>
    </row>
    <row r="156" spans="1:2" x14ac:dyDescent="0.25">
      <c r="A156" t="s">
        <v>608</v>
      </c>
      <c r="B156" t="s">
        <v>679</v>
      </c>
    </row>
    <row r="157" spans="1:2" x14ac:dyDescent="0.25">
      <c r="A157" t="s">
        <v>605</v>
      </c>
      <c r="B157" t="s">
        <v>639</v>
      </c>
    </row>
    <row r="158" spans="1:2" x14ac:dyDescent="0.25">
      <c r="A158" t="s">
        <v>609</v>
      </c>
      <c r="B158" t="s">
        <v>639</v>
      </c>
    </row>
    <row r="159" spans="1:2" x14ac:dyDescent="0.25">
      <c r="A159" t="s">
        <v>609</v>
      </c>
      <c r="B159" t="s">
        <v>639</v>
      </c>
    </row>
    <row r="160" spans="1:2" x14ac:dyDescent="0.25">
      <c r="A160" t="s">
        <v>614</v>
      </c>
      <c r="B160" t="s">
        <v>639</v>
      </c>
    </row>
    <row r="161" spans="1:2" x14ac:dyDescent="0.25">
      <c r="A161" t="s">
        <v>614</v>
      </c>
      <c r="B161" t="s">
        <v>639</v>
      </c>
    </row>
    <row r="162" spans="1:2" x14ac:dyDescent="0.25">
      <c r="A162" t="s">
        <v>614</v>
      </c>
      <c r="B162" t="s">
        <v>639</v>
      </c>
    </row>
    <row r="163" spans="1:2" x14ac:dyDescent="0.25">
      <c r="A163" t="s">
        <v>616</v>
      </c>
      <c r="B163" t="s">
        <v>639</v>
      </c>
    </row>
    <row r="164" spans="1:2" x14ac:dyDescent="0.25">
      <c r="A164" t="s">
        <v>629</v>
      </c>
      <c r="B164" t="s">
        <v>639</v>
      </c>
    </row>
    <row r="165" spans="1:2" x14ac:dyDescent="0.25">
      <c r="A165" t="s">
        <v>629</v>
      </c>
      <c r="B165" t="s">
        <v>639</v>
      </c>
    </row>
    <row r="166" spans="1:2" x14ac:dyDescent="0.25">
      <c r="A166" t="s">
        <v>629</v>
      </c>
      <c r="B166" t="s">
        <v>639</v>
      </c>
    </row>
    <row r="167" spans="1:2" x14ac:dyDescent="0.25">
      <c r="A167" t="s">
        <v>629</v>
      </c>
      <c r="B167" t="s">
        <v>639</v>
      </c>
    </row>
    <row r="168" spans="1:2" x14ac:dyDescent="0.25">
      <c r="A168" t="s">
        <v>629</v>
      </c>
      <c r="B168" t="s">
        <v>639</v>
      </c>
    </row>
    <row r="169" spans="1:2" x14ac:dyDescent="0.25">
      <c r="A169" t="s">
        <v>631</v>
      </c>
      <c r="B169" t="s">
        <v>639</v>
      </c>
    </row>
    <row r="170" spans="1:2" x14ac:dyDescent="0.25">
      <c r="A170" t="s">
        <v>633</v>
      </c>
      <c r="B170" t="s">
        <v>639</v>
      </c>
    </row>
    <row r="171" spans="1:2" x14ac:dyDescent="0.25">
      <c r="A171" t="s">
        <v>633</v>
      </c>
      <c r="B171" t="s">
        <v>639</v>
      </c>
    </row>
    <row r="172" spans="1:2" x14ac:dyDescent="0.25">
      <c r="A172" t="s">
        <v>613</v>
      </c>
      <c r="B172" t="s">
        <v>705</v>
      </c>
    </row>
    <row r="173" spans="1:2" x14ac:dyDescent="0.25">
      <c r="A173" t="s">
        <v>614</v>
      </c>
      <c r="B173" t="s">
        <v>1034</v>
      </c>
    </row>
    <row r="174" spans="1:2" x14ac:dyDescent="0.25">
      <c r="A174" t="s">
        <v>2808</v>
      </c>
      <c r="B174" t="s">
        <v>2816</v>
      </c>
    </row>
    <row r="175" spans="1:2" x14ac:dyDescent="0.25">
      <c r="A175" t="s">
        <v>605</v>
      </c>
      <c r="B175" t="s">
        <v>668</v>
      </c>
    </row>
    <row r="176" spans="1:2" x14ac:dyDescent="0.25">
      <c r="A176" t="s">
        <v>633</v>
      </c>
      <c r="B176" t="s">
        <v>765</v>
      </c>
    </row>
    <row r="177" spans="1:2" x14ac:dyDescent="0.25">
      <c r="A177" t="s">
        <v>611</v>
      </c>
      <c r="B177" t="s">
        <v>695</v>
      </c>
    </row>
    <row r="178" spans="1:2" x14ac:dyDescent="0.25">
      <c r="A178" t="s">
        <v>623</v>
      </c>
      <c r="B178" t="s">
        <v>743</v>
      </c>
    </row>
    <row r="179" spans="1:2" x14ac:dyDescent="0.25">
      <c r="A179" t="s">
        <v>622</v>
      </c>
      <c r="B179" t="s">
        <v>736</v>
      </c>
    </row>
    <row r="180" spans="1:2" x14ac:dyDescent="0.25">
      <c r="A180" t="s">
        <v>633</v>
      </c>
      <c r="B180" t="s">
        <v>2623</v>
      </c>
    </row>
    <row r="181" spans="1:2" x14ac:dyDescent="0.25">
      <c r="A181" t="s">
        <v>915</v>
      </c>
      <c r="B181" t="s">
        <v>1112</v>
      </c>
    </row>
    <row r="182" spans="1:2" x14ac:dyDescent="0.25">
      <c r="A182" t="s">
        <v>630</v>
      </c>
      <c r="B182" t="s">
        <v>830</v>
      </c>
    </row>
    <row r="183" spans="1:2" x14ac:dyDescent="0.25">
      <c r="A183" t="s">
        <v>633</v>
      </c>
      <c r="B183" t="s">
        <v>2709</v>
      </c>
    </row>
    <row r="184" spans="1:2" x14ac:dyDescent="0.25">
      <c r="A184" t="s">
        <v>629</v>
      </c>
      <c r="B184" t="s">
        <v>1103</v>
      </c>
    </row>
    <row r="185" spans="1:2" x14ac:dyDescent="0.25">
      <c r="A185" t="s">
        <v>633</v>
      </c>
      <c r="B185" t="s">
        <v>883</v>
      </c>
    </row>
    <row r="186" spans="1:2" x14ac:dyDescent="0.25">
      <c r="A186" t="s">
        <v>2808</v>
      </c>
      <c r="B186" t="s">
        <v>2820</v>
      </c>
    </row>
    <row r="187" spans="1:2" x14ac:dyDescent="0.25">
      <c r="A187" t="s">
        <v>616</v>
      </c>
      <c r="B187" t="s">
        <v>717</v>
      </c>
    </row>
    <row r="188" spans="1:2" x14ac:dyDescent="0.25">
      <c r="A188" t="s">
        <v>609</v>
      </c>
      <c r="B188" t="s">
        <v>684</v>
      </c>
    </row>
    <row r="189" spans="1:2" x14ac:dyDescent="0.25">
      <c r="A189" t="s">
        <v>1045</v>
      </c>
      <c r="B189" t="s">
        <v>1100</v>
      </c>
    </row>
    <row r="190" spans="1:2" x14ac:dyDescent="0.25">
      <c r="A190" t="s">
        <v>629</v>
      </c>
      <c r="B190" t="s">
        <v>2796</v>
      </c>
    </row>
    <row r="191" spans="1:2" x14ac:dyDescent="0.25">
      <c r="A191" t="s">
        <v>831</v>
      </c>
      <c r="B191" t="s">
        <v>902</v>
      </c>
    </row>
    <row r="192" spans="1:2" x14ac:dyDescent="0.25">
      <c r="A192" t="s">
        <v>610</v>
      </c>
      <c r="B192" t="s">
        <v>816</v>
      </c>
    </row>
    <row r="193" spans="1:2" x14ac:dyDescent="0.25">
      <c r="A193" t="s">
        <v>630</v>
      </c>
      <c r="B193" t="s">
        <v>757</v>
      </c>
    </row>
    <row r="194" spans="1:2" x14ac:dyDescent="0.25">
      <c r="A194" t="s">
        <v>635</v>
      </c>
      <c r="B194" t="s">
        <v>723</v>
      </c>
    </row>
    <row r="195" spans="1:2" x14ac:dyDescent="0.25">
      <c r="A195" t="s">
        <v>610</v>
      </c>
      <c r="B195" t="s">
        <v>694</v>
      </c>
    </row>
    <row r="196" spans="1:2" x14ac:dyDescent="0.25">
      <c r="A196" t="s">
        <v>635</v>
      </c>
      <c r="B196" t="s">
        <v>726</v>
      </c>
    </row>
    <row r="197" spans="1:2" x14ac:dyDescent="0.25">
      <c r="A197" t="s">
        <v>633</v>
      </c>
      <c r="B197" t="s">
        <v>762</v>
      </c>
    </row>
    <row r="198" spans="1:2" x14ac:dyDescent="0.25">
      <c r="A198" t="s">
        <v>632</v>
      </c>
      <c r="B198" t="s">
        <v>759</v>
      </c>
    </row>
    <row r="199" spans="1:2" x14ac:dyDescent="0.25">
      <c r="A199" t="s">
        <v>603</v>
      </c>
      <c r="B199" t="s">
        <v>641</v>
      </c>
    </row>
    <row r="200" spans="1:2" x14ac:dyDescent="0.25">
      <c r="A200" t="s">
        <v>605</v>
      </c>
      <c r="B200" t="s">
        <v>641</v>
      </c>
    </row>
    <row r="201" spans="1:2" x14ac:dyDescent="0.25">
      <c r="A201" t="s">
        <v>605</v>
      </c>
      <c r="B201" t="s">
        <v>641</v>
      </c>
    </row>
    <row r="202" spans="1:2" x14ac:dyDescent="0.25">
      <c r="A202" t="s">
        <v>607</v>
      </c>
      <c r="B202" t="s">
        <v>641</v>
      </c>
    </row>
    <row r="203" spans="1:2" x14ac:dyDescent="0.25">
      <c r="A203" t="s">
        <v>616</v>
      </c>
      <c r="B203" t="s">
        <v>641</v>
      </c>
    </row>
    <row r="204" spans="1:2" x14ac:dyDescent="0.25">
      <c r="A204" t="s">
        <v>2808</v>
      </c>
      <c r="B204" t="s">
        <v>641</v>
      </c>
    </row>
    <row r="205" spans="1:2" x14ac:dyDescent="0.25">
      <c r="A205" t="s">
        <v>2808</v>
      </c>
      <c r="B205" t="s">
        <v>641</v>
      </c>
    </row>
    <row r="206" spans="1:2" x14ac:dyDescent="0.25">
      <c r="A206" t="s">
        <v>633</v>
      </c>
      <c r="B206" t="s">
        <v>641</v>
      </c>
    </row>
    <row r="207" spans="1:2" x14ac:dyDescent="0.25">
      <c r="A207" t="s">
        <v>602</v>
      </c>
      <c r="B207" t="s">
        <v>660</v>
      </c>
    </row>
    <row r="208" spans="1:2" x14ac:dyDescent="0.25">
      <c r="A208" t="s">
        <v>620</v>
      </c>
      <c r="B208" t="s">
        <v>1843</v>
      </c>
    </row>
    <row r="209" spans="1:2" x14ac:dyDescent="0.25">
      <c r="A209" t="s">
        <v>1045</v>
      </c>
      <c r="B209" t="s">
        <v>1096</v>
      </c>
    </row>
    <row r="210" spans="1:2" x14ac:dyDescent="0.25">
      <c r="A210" t="s">
        <v>608</v>
      </c>
      <c r="B210" t="s">
        <v>673</v>
      </c>
    </row>
    <row r="211" spans="1:2" x14ac:dyDescent="0.25">
      <c r="A211" t="s">
        <v>633</v>
      </c>
      <c r="B211" t="s">
        <v>768</v>
      </c>
    </row>
    <row r="212" spans="1:2" x14ac:dyDescent="0.25">
      <c r="A212" t="s">
        <v>601</v>
      </c>
      <c r="B212" t="s">
        <v>2719</v>
      </c>
    </row>
    <row r="213" spans="1:2" x14ac:dyDescent="0.25">
      <c r="A213" t="s">
        <v>1012</v>
      </c>
      <c r="B213" t="s">
        <v>2793</v>
      </c>
    </row>
    <row r="214" spans="1:2" x14ac:dyDescent="0.25">
      <c r="A214" t="s">
        <v>618</v>
      </c>
      <c r="B214" t="s">
        <v>1345</v>
      </c>
    </row>
    <row r="215" spans="1:2" x14ac:dyDescent="0.25">
      <c r="A215" t="s">
        <v>614</v>
      </c>
      <c r="B215" t="s">
        <v>710</v>
      </c>
    </row>
    <row r="216" spans="1:2" x14ac:dyDescent="0.25">
      <c r="A216" t="s">
        <v>616</v>
      </c>
      <c r="B216" t="s">
        <v>714</v>
      </c>
    </row>
    <row r="217" spans="1:2" x14ac:dyDescent="0.25">
      <c r="A217" t="s">
        <v>1045</v>
      </c>
      <c r="B217" t="s">
        <v>2613</v>
      </c>
    </row>
    <row r="218" spans="1:2" x14ac:dyDescent="0.25">
      <c r="A218" t="s">
        <v>602</v>
      </c>
      <c r="B218" t="s">
        <v>657</v>
      </c>
    </row>
    <row r="219" spans="1:2" x14ac:dyDescent="0.25">
      <c r="A219" t="s">
        <v>614</v>
      </c>
      <c r="B219" t="s">
        <v>1453</v>
      </c>
    </row>
    <row r="220" spans="1:2" x14ac:dyDescent="0.25">
      <c r="A220" t="s">
        <v>616</v>
      </c>
      <c r="B220" t="s">
        <v>1937</v>
      </c>
    </row>
    <row r="221" spans="1:2" x14ac:dyDescent="0.25">
      <c r="A221" t="s">
        <v>616</v>
      </c>
      <c r="B221" t="s">
        <v>1938</v>
      </c>
    </row>
    <row r="222" spans="1:2" x14ac:dyDescent="0.25">
      <c r="A222" t="s">
        <v>613</v>
      </c>
      <c r="B222" t="s">
        <v>706</v>
      </c>
    </row>
    <row r="223" spans="1:2" x14ac:dyDescent="0.25">
      <c r="A223" t="s">
        <v>614</v>
      </c>
      <c r="B223" t="s">
        <v>764</v>
      </c>
    </row>
    <row r="224" spans="1:2" x14ac:dyDescent="0.25">
      <c r="A224" t="s">
        <v>605</v>
      </c>
      <c r="B224" t="s">
        <v>2839</v>
      </c>
    </row>
    <row r="225" spans="1:2" x14ac:dyDescent="0.25">
      <c r="A225" t="s">
        <v>605</v>
      </c>
      <c r="B225" t="s">
        <v>669</v>
      </c>
    </row>
    <row r="226" spans="1:2" x14ac:dyDescent="0.25">
      <c r="A226" t="s">
        <v>627</v>
      </c>
      <c r="B226" t="s">
        <v>752</v>
      </c>
    </row>
    <row r="227" spans="1:2" x14ac:dyDescent="0.25">
      <c r="A227" t="s">
        <v>616</v>
      </c>
      <c r="B227" t="s">
        <v>722</v>
      </c>
    </row>
    <row r="228" spans="1:2" x14ac:dyDescent="0.25">
      <c r="A228" t="s">
        <v>609</v>
      </c>
      <c r="B228" t="s">
        <v>686</v>
      </c>
    </row>
    <row r="229" spans="1:2" x14ac:dyDescent="0.25">
      <c r="A229" t="s">
        <v>624</v>
      </c>
      <c r="B229" t="s">
        <v>747</v>
      </c>
    </row>
    <row r="230" spans="1:2" x14ac:dyDescent="0.25">
      <c r="A230" t="s">
        <v>613</v>
      </c>
      <c r="B230" t="s">
        <v>707</v>
      </c>
    </row>
    <row r="231" spans="1:2" x14ac:dyDescent="0.25">
      <c r="A231" t="s">
        <v>2808</v>
      </c>
      <c r="B231" t="s">
        <v>2321</v>
      </c>
    </row>
    <row r="232" spans="1:2" x14ac:dyDescent="0.25">
      <c r="A232" t="s">
        <v>612</v>
      </c>
      <c r="B232" t="s">
        <v>701</v>
      </c>
    </row>
    <row r="233" spans="1:2" x14ac:dyDescent="0.25">
      <c r="A233" t="s">
        <v>633</v>
      </c>
      <c r="B233" t="s">
        <v>2710</v>
      </c>
    </row>
    <row r="234" spans="1:2" x14ac:dyDescent="0.25">
      <c r="A234" t="s">
        <v>605</v>
      </c>
      <c r="B234" t="s">
        <v>814</v>
      </c>
    </row>
    <row r="235" spans="1:2" x14ac:dyDescent="0.25">
      <c r="A235" t="s">
        <v>602</v>
      </c>
      <c r="B235" t="s">
        <v>656</v>
      </c>
    </row>
    <row r="236" spans="1:2" x14ac:dyDescent="0.25">
      <c r="A236" t="s">
        <v>620</v>
      </c>
      <c r="B236" t="s">
        <v>734</v>
      </c>
    </row>
    <row r="237" spans="1:2" x14ac:dyDescent="0.25">
      <c r="A237" t="s">
        <v>610</v>
      </c>
      <c r="B237" t="s">
        <v>691</v>
      </c>
    </row>
    <row r="238" spans="1:2" x14ac:dyDescent="0.25">
      <c r="A238" t="s">
        <v>622</v>
      </c>
      <c r="B238" t="s">
        <v>691</v>
      </c>
    </row>
    <row r="239" spans="1:2" x14ac:dyDescent="0.25">
      <c r="A239" t="s">
        <v>610</v>
      </c>
      <c r="B239" t="s">
        <v>819</v>
      </c>
    </row>
    <row r="240" spans="1:2" x14ac:dyDescent="0.25">
      <c r="A240" t="s">
        <v>628</v>
      </c>
      <c r="B240" t="s">
        <v>753</v>
      </c>
    </row>
    <row r="241" spans="1:2" x14ac:dyDescent="0.25">
      <c r="A241" t="s">
        <v>617</v>
      </c>
      <c r="B241" t="s">
        <v>728</v>
      </c>
    </row>
    <row r="242" spans="1:2" x14ac:dyDescent="0.25">
      <c r="A242" t="s">
        <v>614</v>
      </c>
      <c r="B242" t="s">
        <v>905</v>
      </c>
    </row>
    <row r="243" spans="1:2" x14ac:dyDescent="0.25">
      <c r="A243" t="s">
        <v>627</v>
      </c>
      <c r="B243" t="s">
        <v>750</v>
      </c>
    </row>
    <row r="244" spans="1:2" x14ac:dyDescent="0.25">
      <c r="A244" t="s">
        <v>617</v>
      </c>
      <c r="B244" t="s">
        <v>2803</v>
      </c>
    </row>
    <row r="245" spans="1:2" x14ac:dyDescent="0.25">
      <c r="A245" t="s">
        <v>1045</v>
      </c>
      <c r="B245" t="s">
        <v>2804</v>
      </c>
    </row>
    <row r="246" spans="1:2" x14ac:dyDescent="0.25">
      <c r="A246" t="s">
        <v>612</v>
      </c>
      <c r="B246" t="s">
        <v>702</v>
      </c>
    </row>
    <row r="247" spans="1:2" x14ac:dyDescent="0.25">
      <c r="A247" t="s">
        <v>601</v>
      </c>
      <c r="B247" t="s">
        <v>948</v>
      </c>
    </row>
    <row r="248" spans="1:2" x14ac:dyDescent="0.25">
      <c r="A248" t="s">
        <v>2808</v>
      </c>
      <c r="B248" t="s">
        <v>2329</v>
      </c>
    </row>
    <row r="249" spans="1:2" x14ac:dyDescent="0.25">
      <c r="A249" t="s">
        <v>607</v>
      </c>
      <c r="B249" t="s">
        <v>677</v>
      </c>
    </row>
    <row r="250" spans="1:2" x14ac:dyDescent="0.25">
      <c r="A250" t="s">
        <v>623</v>
      </c>
      <c r="B250" t="s">
        <v>744</v>
      </c>
    </row>
    <row r="251" spans="1:2" x14ac:dyDescent="0.25">
      <c r="A251" t="s">
        <v>616</v>
      </c>
      <c r="B251" t="s">
        <v>719</v>
      </c>
    </row>
    <row r="252" spans="1:2" x14ac:dyDescent="0.25">
      <c r="A252" t="s">
        <v>609</v>
      </c>
      <c r="B252" t="s">
        <v>678</v>
      </c>
    </row>
    <row r="253" spans="1:2" x14ac:dyDescent="0.25">
      <c r="A253" t="s">
        <v>610</v>
      </c>
      <c r="B253" t="s">
        <v>678</v>
      </c>
    </row>
    <row r="254" spans="1:2" x14ac:dyDescent="0.25">
      <c r="A254" t="s">
        <v>614</v>
      </c>
      <c r="B254" t="s">
        <v>678</v>
      </c>
    </row>
    <row r="255" spans="1:2" x14ac:dyDescent="0.25">
      <c r="A255" t="s">
        <v>614</v>
      </c>
      <c r="B255" t="s">
        <v>678</v>
      </c>
    </row>
    <row r="256" spans="1:2" x14ac:dyDescent="0.25">
      <c r="A256" t="s">
        <v>1045</v>
      </c>
      <c r="B256" t="s">
        <v>678</v>
      </c>
    </row>
    <row r="257" spans="1:2" x14ac:dyDescent="0.25">
      <c r="A257" t="s">
        <v>1045</v>
      </c>
      <c r="B257" t="s">
        <v>678</v>
      </c>
    </row>
    <row r="258" spans="1:2" x14ac:dyDescent="0.25">
      <c r="A258" t="s">
        <v>1045</v>
      </c>
      <c r="B258" t="s">
        <v>678</v>
      </c>
    </row>
    <row r="259" spans="1:2" x14ac:dyDescent="0.25">
      <c r="A259" t="s">
        <v>1045</v>
      </c>
      <c r="B259" t="s">
        <v>678</v>
      </c>
    </row>
    <row r="260" spans="1:2" x14ac:dyDescent="0.25">
      <c r="A260" t="s">
        <v>1045</v>
      </c>
      <c r="B260" t="s">
        <v>678</v>
      </c>
    </row>
    <row r="261" spans="1:2" x14ac:dyDescent="0.25">
      <c r="A261" t="s">
        <v>1045</v>
      </c>
      <c r="B261" t="s">
        <v>678</v>
      </c>
    </row>
    <row r="262" spans="1:2" x14ac:dyDescent="0.25">
      <c r="A262" t="s">
        <v>619</v>
      </c>
      <c r="B262" t="s">
        <v>678</v>
      </c>
    </row>
    <row r="263" spans="1:2" x14ac:dyDescent="0.25">
      <c r="A263" t="s">
        <v>630</v>
      </c>
      <c r="B263" t="s">
        <v>678</v>
      </c>
    </row>
    <row r="264" spans="1:2" x14ac:dyDescent="0.25">
      <c r="A264" t="s">
        <v>630</v>
      </c>
      <c r="B264" t="s">
        <v>678</v>
      </c>
    </row>
    <row r="265" spans="1:2" x14ac:dyDescent="0.25">
      <c r="A265" t="s">
        <v>603</v>
      </c>
      <c r="B265" t="s">
        <v>974</v>
      </c>
    </row>
    <row r="266" spans="1:2" x14ac:dyDescent="0.25">
      <c r="A266" t="s">
        <v>1045</v>
      </c>
      <c r="B266" t="s">
        <v>1106</v>
      </c>
    </row>
    <row r="267" spans="1:2" x14ac:dyDescent="0.25">
      <c r="A267" t="s">
        <v>628</v>
      </c>
      <c r="B267" t="s">
        <v>2413</v>
      </c>
    </row>
    <row r="268" spans="1:2" x14ac:dyDescent="0.25">
      <c r="A268" t="s">
        <v>622</v>
      </c>
      <c r="B268" t="s">
        <v>2222</v>
      </c>
    </row>
    <row r="269" spans="1:2" x14ac:dyDescent="0.25">
      <c r="A269" t="s">
        <v>831</v>
      </c>
      <c r="B269" t="s">
        <v>829</v>
      </c>
    </row>
    <row r="270" spans="1:2" x14ac:dyDescent="0.25">
      <c r="A270" t="s">
        <v>602</v>
      </c>
      <c r="B270" t="s">
        <v>658</v>
      </c>
    </row>
    <row r="271" spans="1:2" x14ac:dyDescent="0.25">
      <c r="A271" t="s">
        <v>627</v>
      </c>
      <c r="B271" t="s">
        <v>748</v>
      </c>
    </row>
    <row r="272" spans="1:2" x14ac:dyDescent="0.25">
      <c r="A272" t="s">
        <v>618</v>
      </c>
      <c r="B272" t="s">
        <v>2044</v>
      </c>
    </row>
    <row r="273" spans="1:2" x14ac:dyDescent="0.25">
      <c r="A273" t="s">
        <v>623</v>
      </c>
      <c r="B273" t="s">
        <v>740</v>
      </c>
    </row>
    <row r="274" spans="1:2" x14ac:dyDescent="0.25">
      <c r="A274" t="s">
        <v>616</v>
      </c>
      <c r="B274" t="s">
        <v>1928</v>
      </c>
    </row>
    <row r="275" spans="1:2" x14ac:dyDescent="0.25">
      <c r="A275" t="s">
        <v>614</v>
      </c>
      <c r="B275" t="s">
        <v>1085</v>
      </c>
    </row>
    <row r="276" spans="1:2" x14ac:dyDescent="0.25">
      <c r="A276" t="s">
        <v>605</v>
      </c>
      <c r="B276" t="s">
        <v>670</v>
      </c>
    </row>
    <row r="277" spans="1:2" x14ac:dyDescent="0.25">
      <c r="A277" t="s">
        <v>605</v>
      </c>
      <c r="B277" t="s">
        <v>665</v>
      </c>
    </row>
    <row r="278" spans="1:2" x14ac:dyDescent="0.25">
      <c r="A278" t="s">
        <v>1012</v>
      </c>
      <c r="B278" t="s">
        <v>1089</v>
      </c>
    </row>
    <row r="279" spans="1:2" x14ac:dyDescent="0.25">
      <c r="A279" t="s">
        <v>616</v>
      </c>
      <c r="B279" t="s">
        <v>720</v>
      </c>
    </row>
    <row r="280" spans="1:2" x14ac:dyDescent="0.25">
      <c r="A280" t="s">
        <v>635</v>
      </c>
      <c r="B280" t="s">
        <v>725</v>
      </c>
    </row>
    <row r="281" spans="1:2" x14ac:dyDescent="0.25">
      <c r="A281" t="s">
        <v>605</v>
      </c>
      <c r="B281" t="s">
        <v>672</v>
      </c>
    </row>
    <row r="282" spans="1:2" x14ac:dyDescent="0.25">
      <c r="A282" t="s">
        <v>1045</v>
      </c>
      <c r="B282" t="s">
        <v>672</v>
      </c>
    </row>
    <row r="283" spans="1:2" x14ac:dyDescent="0.25">
      <c r="A283" t="s">
        <v>618</v>
      </c>
      <c r="B283" t="s">
        <v>2046</v>
      </c>
    </row>
    <row r="284" spans="1:2" x14ac:dyDescent="0.25">
      <c r="A284" t="s">
        <v>607</v>
      </c>
      <c r="B284" t="s">
        <v>1032</v>
      </c>
    </row>
    <row r="285" spans="1:2" x14ac:dyDescent="0.25">
      <c r="A285" t="s">
        <v>616</v>
      </c>
      <c r="B285" t="s">
        <v>718</v>
      </c>
    </row>
    <row r="286" spans="1:2" x14ac:dyDescent="0.25">
      <c r="A286" t="s">
        <v>614</v>
      </c>
      <c r="B286" t="s">
        <v>2611</v>
      </c>
    </row>
    <row r="287" spans="1:2" x14ac:dyDescent="0.25">
      <c r="A287" t="s">
        <v>609</v>
      </c>
      <c r="B287" t="s">
        <v>1628</v>
      </c>
    </row>
    <row r="288" spans="1:2" x14ac:dyDescent="0.25">
      <c r="A288" t="s">
        <v>1045</v>
      </c>
      <c r="B288" t="s">
        <v>727</v>
      </c>
    </row>
    <row r="289" spans="1:2" x14ac:dyDescent="0.25">
      <c r="A289" t="s">
        <v>623</v>
      </c>
      <c r="B289" t="s">
        <v>745</v>
      </c>
    </row>
    <row r="290" spans="1:2" x14ac:dyDescent="0.25">
      <c r="A290" t="s">
        <v>623</v>
      </c>
      <c r="B290" t="s">
        <v>742</v>
      </c>
    </row>
    <row r="291" spans="1:2" x14ac:dyDescent="0.25">
      <c r="A291" t="s">
        <v>633</v>
      </c>
      <c r="B291" t="s">
        <v>770</v>
      </c>
    </row>
    <row r="292" spans="1:2" x14ac:dyDescent="0.25">
      <c r="A292" t="s">
        <v>632</v>
      </c>
      <c r="B292" t="s">
        <v>758</v>
      </c>
    </row>
    <row r="293" spans="1:2" x14ac:dyDescent="0.25">
      <c r="A293" t="s">
        <v>614</v>
      </c>
      <c r="B293" t="s">
        <v>903</v>
      </c>
    </row>
    <row r="294" spans="1:2" x14ac:dyDescent="0.25">
      <c r="A294" t="s">
        <v>608</v>
      </c>
      <c r="B294" t="s">
        <v>683</v>
      </c>
    </row>
    <row r="295" spans="1:2" x14ac:dyDescent="0.25">
      <c r="A295" t="s">
        <v>607</v>
      </c>
      <c r="B295" t="s">
        <v>1033</v>
      </c>
    </row>
    <row r="296" spans="1:2" x14ac:dyDescent="0.25">
      <c r="A296" t="s">
        <v>613</v>
      </c>
      <c r="B296" t="s">
        <v>1084</v>
      </c>
    </row>
    <row r="297" spans="1:2" x14ac:dyDescent="0.25">
      <c r="A297" t="s">
        <v>610</v>
      </c>
      <c r="B297" t="s">
        <v>823</v>
      </c>
    </row>
    <row r="298" spans="1:2" x14ac:dyDescent="0.25">
      <c r="A298" t="s">
        <v>630</v>
      </c>
      <c r="B298" t="s">
        <v>755</v>
      </c>
    </row>
    <row r="299" spans="1:2" x14ac:dyDescent="0.25">
      <c r="A299" t="s">
        <v>610</v>
      </c>
      <c r="B299" t="s">
        <v>821</v>
      </c>
    </row>
    <row r="300" spans="1:2" x14ac:dyDescent="0.25">
      <c r="A300" t="s">
        <v>622</v>
      </c>
      <c r="B300" t="s">
        <v>2237</v>
      </c>
    </row>
    <row r="301" spans="1:2" x14ac:dyDescent="0.25">
      <c r="A301" t="s">
        <v>622</v>
      </c>
      <c r="B301" t="s">
        <v>737</v>
      </c>
    </row>
    <row r="302" spans="1:2" x14ac:dyDescent="0.25">
      <c r="A302" t="s">
        <v>1045</v>
      </c>
      <c r="B302" t="s">
        <v>1097</v>
      </c>
    </row>
    <row r="303" spans="1:2" x14ac:dyDescent="0.25">
      <c r="A303" t="s">
        <v>1012</v>
      </c>
      <c r="B303" t="s">
        <v>1087</v>
      </c>
    </row>
    <row r="304" spans="1:2" x14ac:dyDescent="0.25">
      <c r="A304" t="s">
        <v>1012</v>
      </c>
      <c r="B304" t="s">
        <v>105</v>
      </c>
    </row>
    <row r="305" spans="1:2" x14ac:dyDescent="0.25">
      <c r="A305" t="s">
        <v>615</v>
      </c>
      <c r="B305" t="s">
        <v>713</v>
      </c>
    </row>
    <row r="306" spans="1:2" x14ac:dyDescent="0.25">
      <c r="A306" t="s">
        <v>619</v>
      </c>
      <c r="B306" t="s">
        <v>731</v>
      </c>
    </row>
    <row r="307" spans="1:2" x14ac:dyDescent="0.25">
      <c r="A307" t="s">
        <v>608</v>
      </c>
      <c r="B307" t="s">
        <v>1266</v>
      </c>
    </row>
    <row r="308" spans="1:2" x14ac:dyDescent="0.25">
      <c r="A308" t="s">
        <v>602</v>
      </c>
      <c r="B308" t="s">
        <v>1082</v>
      </c>
    </row>
    <row r="309" spans="1:2" x14ac:dyDescent="0.25">
      <c r="A309" t="s">
        <v>601</v>
      </c>
      <c r="B309" t="s">
        <v>783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AA47-F928-49CB-B0A5-16E796DB92F8}">
  <dimension ref="A1:B2801"/>
  <sheetViews>
    <sheetView workbookViewId="0">
      <selection activeCell="B827" sqref="A827:B827"/>
    </sheetView>
  </sheetViews>
  <sheetFormatPr defaultRowHeight="15" x14ac:dyDescent="0.25"/>
  <cols>
    <col min="1" max="1" width="18.42578125" bestFit="1" customWidth="1"/>
    <col min="2" max="2" width="39.42578125" bestFit="1" customWidth="1"/>
    <col min="3" max="3" width="58.7109375" bestFit="1" customWidth="1"/>
  </cols>
  <sheetData>
    <row r="1" spans="1:2" x14ac:dyDescent="0.25">
      <c r="A1" t="s">
        <v>0</v>
      </c>
      <c r="B1" t="s">
        <v>653</v>
      </c>
    </row>
    <row r="2" spans="1:2" x14ac:dyDescent="0.25">
      <c r="A2" t="s">
        <v>607</v>
      </c>
      <c r="B2" t="s">
        <v>778</v>
      </c>
    </row>
    <row r="3" spans="1:2" x14ac:dyDescent="0.25">
      <c r="A3" t="s">
        <v>630</v>
      </c>
      <c r="B3" t="s">
        <v>2479</v>
      </c>
    </row>
    <row r="4" spans="1:2" x14ac:dyDescent="0.25">
      <c r="A4" t="s">
        <v>1012</v>
      </c>
      <c r="B4" t="s">
        <v>13</v>
      </c>
    </row>
    <row r="5" spans="1:2" x14ac:dyDescent="0.25">
      <c r="A5" t="s">
        <v>635</v>
      </c>
      <c r="B5" t="s">
        <v>13</v>
      </c>
    </row>
    <row r="6" spans="1:2" x14ac:dyDescent="0.25">
      <c r="A6" t="s">
        <v>632</v>
      </c>
      <c r="B6" t="s">
        <v>13</v>
      </c>
    </row>
    <row r="7" spans="1:2" x14ac:dyDescent="0.25">
      <c r="A7" t="s">
        <v>606</v>
      </c>
      <c r="B7" t="s">
        <v>1398</v>
      </c>
    </row>
    <row r="8" spans="1:2" x14ac:dyDescent="0.25">
      <c r="A8" t="s">
        <v>611</v>
      </c>
      <c r="B8" t="s">
        <v>1715</v>
      </c>
    </row>
    <row r="9" spans="1:2" x14ac:dyDescent="0.25">
      <c r="A9" t="s">
        <v>612</v>
      </c>
      <c r="B9" t="s">
        <v>1715</v>
      </c>
    </row>
    <row r="10" spans="1:2" x14ac:dyDescent="0.25">
      <c r="A10" t="s">
        <v>605</v>
      </c>
      <c r="B10" t="s">
        <v>1343</v>
      </c>
    </row>
    <row r="11" spans="1:2" x14ac:dyDescent="0.25">
      <c r="A11" t="s">
        <v>618</v>
      </c>
      <c r="B11" t="s">
        <v>1343</v>
      </c>
    </row>
    <row r="12" spans="1:2" x14ac:dyDescent="0.25">
      <c r="A12" t="s">
        <v>619</v>
      </c>
      <c r="B12" t="s">
        <v>1343</v>
      </c>
    </row>
    <row r="13" spans="1:2" x14ac:dyDescent="0.25">
      <c r="A13" t="s">
        <v>620</v>
      </c>
      <c r="B13" t="s">
        <v>1343</v>
      </c>
    </row>
    <row r="14" spans="1:2" x14ac:dyDescent="0.25">
      <c r="A14" t="s">
        <v>615</v>
      </c>
      <c r="B14" t="s">
        <v>1855</v>
      </c>
    </row>
    <row r="15" spans="1:2" x14ac:dyDescent="0.25">
      <c r="A15" t="s">
        <v>624</v>
      </c>
      <c r="B15" t="s">
        <v>1855</v>
      </c>
    </row>
    <row r="16" spans="1:2" x14ac:dyDescent="0.25">
      <c r="A16" t="s">
        <v>622</v>
      </c>
      <c r="B16" t="s">
        <v>2224</v>
      </c>
    </row>
    <row r="17" spans="1:2" x14ac:dyDescent="0.25">
      <c r="A17" t="s">
        <v>604</v>
      </c>
      <c r="B17" t="s">
        <v>156</v>
      </c>
    </row>
    <row r="18" spans="1:2" x14ac:dyDescent="0.25">
      <c r="A18" t="s">
        <v>619</v>
      </c>
      <c r="B18" t="s">
        <v>156</v>
      </c>
    </row>
    <row r="19" spans="1:2" x14ac:dyDescent="0.25">
      <c r="A19" t="s">
        <v>630</v>
      </c>
      <c r="B19" t="s">
        <v>156</v>
      </c>
    </row>
    <row r="20" spans="1:2" x14ac:dyDescent="0.25">
      <c r="A20" t="s">
        <v>613</v>
      </c>
      <c r="B20" t="s">
        <v>1801</v>
      </c>
    </row>
    <row r="21" spans="1:2" x14ac:dyDescent="0.25">
      <c r="A21" t="s">
        <v>603</v>
      </c>
      <c r="B21" t="s">
        <v>33</v>
      </c>
    </row>
    <row r="22" spans="1:2" x14ac:dyDescent="0.25">
      <c r="A22" t="s">
        <v>606</v>
      </c>
      <c r="B22" t="s">
        <v>33</v>
      </c>
    </row>
    <row r="23" spans="1:2" x14ac:dyDescent="0.25">
      <c r="A23" t="s">
        <v>603</v>
      </c>
      <c r="B23" t="s">
        <v>134</v>
      </c>
    </row>
    <row r="24" spans="1:2" x14ac:dyDescent="0.25">
      <c r="A24" t="s">
        <v>604</v>
      </c>
      <c r="B24" t="s">
        <v>134</v>
      </c>
    </row>
    <row r="25" spans="1:2" x14ac:dyDescent="0.25">
      <c r="A25" t="s">
        <v>606</v>
      </c>
      <c r="B25" t="s">
        <v>134</v>
      </c>
    </row>
    <row r="26" spans="1:2" x14ac:dyDescent="0.25">
      <c r="A26" t="s">
        <v>631</v>
      </c>
      <c r="B26" t="s">
        <v>134</v>
      </c>
    </row>
    <row r="27" spans="1:2" x14ac:dyDescent="0.25">
      <c r="A27" t="s">
        <v>614</v>
      </c>
      <c r="B27" t="s">
        <v>1010</v>
      </c>
    </row>
    <row r="28" spans="1:2" x14ac:dyDescent="0.25">
      <c r="A28" t="s">
        <v>614</v>
      </c>
      <c r="B28" t="s">
        <v>1848</v>
      </c>
    </row>
    <row r="29" spans="1:2" x14ac:dyDescent="0.25">
      <c r="A29" t="s">
        <v>619</v>
      </c>
      <c r="B29" t="s">
        <v>2110</v>
      </c>
    </row>
    <row r="30" spans="1:2" x14ac:dyDescent="0.25">
      <c r="A30" t="s">
        <v>607</v>
      </c>
      <c r="B30" t="s">
        <v>1420</v>
      </c>
    </row>
    <row r="31" spans="1:2" x14ac:dyDescent="0.25">
      <c r="A31" t="s">
        <v>610</v>
      </c>
      <c r="B31" t="s">
        <v>1651</v>
      </c>
    </row>
    <row r="32" spans="1:2" x14ac:dyDescent="0.25">
      <c r="A32" t="s">
        <v>631</v>
      </c>
      <c r="B32" t="s">
        <v>2525</v>
      </c>
    </row>
    <row r="33" spans="1:2" x14ac:dyDescent="0.25">
      <c r="A33" t="s">
        <v>615</v>
      </c>
      <c r="B33" t="s">
        <v>1884</v>
      </c>
    </row>
    <row r="34" spans="1:2" x14ac:dyDescent="0.25">
      <c r="A34" t="s">
        <v>624</v>
      </c>
      <c r="B34" t="s">
        <v>1884</v>
      </c>
    </row>
    <row r="35" spans="1:2" x14ac:dyDescent="0.25">
      <c r="A35" t="s">
        <v>631</v>
      </c>
      <c r="B35" t="s">
        <v>1108</v>
      </c>
    </row>
    <row r="36" spans="1:2" x14ac:dyDescent="0.25">
      <c r="A36" t="s">
        <v>601</v>
      </c>
      <c r="B36" t="s">
        <v>1134</v>
      </c>
    </row>
    <row r="37" spans="1:2" x14ac:dyDescent="0.25">
      <c r="A37" t="s">
        <v>611</v>
      </c>
      <c r="B37" t="s">
        <v>1134</v>
      </c>
    </row>
    <row r="38" spans="1:2" x14ac:dyDescent="0.25">
      <c r="A38" t="s">
        <v>606</v>
      </c>
      <c r="B38" t="s">
        <v>1376</v>
      </c>
    </row>
    <row r="39" spans="1:2" x14ac:dyDescent="0.25">
      <c r="A39" t="s">
        <v>618</v>
      </c>
      <c r="B39" t="s">
        <v>1376</v>
      </c>
    </row>
    <row r="40" spans="1:2" x14ac:dyDescent="0.25">
      <c r="A40" t="s">
        <v>633</v>
      </c>
      <c r="B40" t="s">
        <v>2782</v>
      </c>
    </row>
    <row r="41" spans="1:2" x14ac:dyDescent="0.25">
      <c r="A41" t="s">
        <v>620</v>
      </c>
      <c r="B41" t="s">
        <v>2190</v>
      </c>
    </row>
    <row r="42" spans="1:2" x14ac:dyDescent="0.25">
      <c r="A42" t="s">
        <v>632</v>
      </c>
      <c r="B42" t="s">
        <v>83</v>
      </c>
    </row>
    <row r="43" spans="1:2" x14ac:dyDescent="0.25">
      <c r="A43" t="s">
        <v>831</v>
      </c>
      <c r="B43" t="s">
        <v>1745</v>
      </c>
    </row>
    <row r="44" spans="1:2" x14ac:dyDescent="0.25">
      <c r="A44" t="s">
        <v>606</v>
      </c>
      <c r="B44" t="s">
        <v>1401</v>
      </c>
    </row>
    <row r="45" spans="1:2" x14ac:dyDescent="0.25">
      <c r="A45" t="s">
        <v>629</v>
      </c>
      <c r="B45" t="s">
        <v>1401</v>
      </c>
    </row>
    <row r="46" spans="1:2" x14ac:dyDescent="0.25">
      <c r="A46" t="s">
        <v>623</v>
      </c>
      <c r="B46" t="s">
        <v>2260</v>
      </c>
    </row>
    <row r="47" spans="1:2" x14ac:dyDescent="0.25">
      <c r="A47" t="s">
        <v>620</v>
      </c>
      <c r="B47" t="s">
        <v>2167</v>
      </c>
    </row>
    <row r="48" spans="1:2" x14ac:dyDescent="0.25">
      <c r="A48" t="s">
        <v>602</v>
      </c>
      <c r="B48" t="s">
        <v>1152</v>
      </c>
    </row>
    <row r="49" spans="1:2" x14ac:dyDescent="0.25">
      <c r="A49" t="s">
        <v>624</v>
      </c>
      <c r="B49" t="s">
        <v>2330</v>
      </c>
    </row>
    <row r="50" spans="1:2" x14ac:dyDescent="0.25">
      <c r="A50" t="s">
        <v>2616</v>
      </c>
      <c r="B50" t="s">
        <v>2677</v>
      </c>
    </row>
    <row r="51" spans="1:2" x14ac:dyDescent="0.25">
      <c r="A51" t="s">
        <v>608</v>
      </c>
      <c r="B51" t="s">
        <v>37</v>
      </c>
    </row>
    <row r="52" spans="1:2" x14ac:dyDescent="0.25">
      <c r="A52" t="s">
        <v>831</v>
      </c>
      <c r="B52" t="s">
        <v>37</v>
      </c>
    </row>
    <row r="53" spans="1:2" x14ac:dyDescent="0.25">
      <c r="A53" t="s">
        <v>624</v>
      </c>
      <c r="B53" t="s">
        <v>37</v>
      </c>
    </row>
    <row r="54" spans="1:2" x14ac:dyDescent="0.25">
      <c r="A54" t="s">
        <v>603</v>
      </c>
      <c r="B54" t="s">
        <v>1203</v>
      </c>
    </row>
    <row r="55" spans="1:2" x14ac:dyDescent="0.25">
      <c r="A55" t="s">
        <v>601</v>
      </c>
      <c r="B55" t="s">
        <v>2797</v>
      </c>
    </row>
    <row r="56" spans="1:2" x14ac:dyDescent="0.25">
      <c r="A56" t="s">
        <v>614</v>
      </c>
      <c r="B56" t="s">
        <v>1847</v>
      </c>
    </row>
    <row r="57" spans="1:2" x14ac:dyDescent="0.25">
      <c r="A57" t="s">
        <v>631</v>
      </c>
      <c r="B57" t="s">
        <v>2531</v>
      </c>
    </row>
    <row r="58" spans="1:2" x14ac:dyDescent="0.25">
      <c r="A58" t="s">
        <v>624</v>
      </c>
      <c r="B58" t="s">
        <v>2830</v>
      </c>
    </row>
    <row r="59" spans="1:2" x14ac:dyDescent="0.25">
      <c r="A59" t="s">
        <v>615</v>
      </c>
      <c r="B59" t="s">
        <v>1885</v>
      </c>
    </row>
    <row r="60" spans="1:2" x14ac:dyDescent="0.25">
      <c r="A60" t="s">
        <v>831</v>
      </c>
      <c r="B60" t="s">
        <v>882</v>
      </c>
    </row>
    <row r="61" spans="1:2" x14ac:dyDescent="0.25">
      <c r="A61" t="s">
        <v>623</v>
      </c>
      <c r="B61" t="s">
        <v>2277</v>
      </c>
    </row>
    <row r="62" spans="1:2" x14ac:dyDescent="0.25">
      <c r="A62" t="s">
        <v>611</v>
      </c>
      <c r="B62" t="s">
        <v>1685</v>
      </c>
    </row>
    <row r="63" spans="1:2" x14ac:dyDescent="0.25">
      <c r="A63" t="s">
        <v>612</v>
      </c>
      <c r="B63" t="s">
        <v>1685</v>
      </c>
    </row>
    <row r="64" spans="1:2" x14ac:dyDescent="0.25">
      <c r="A64" t="s">
        <v>635</v>
      </c>
      <c r="B64" t="s">
        <v>146</v>
      </c>
    </row>
    <row r="65" spans="1:2" x14ac:dyDescent="0.25">
      <c r="A65" t="s">
        <v>630</v>
      </c>
      <c r="B65" t="s">
        <v>2493</v>
      </c>
    </row>
    <row r="66" spans="1:2" x14ac:dyDescent="0.25">
      <c r="A66" t="s">
        <v>619</v>
      </c>
      <c r="B66" t="s">
        <v>2120</v>
      </c>
    </row>
    <row r="67" spans="1:2" x14ac:dyDescent="0.25">
      <c r="A67" t="s">
        <v>632</v>
      </c>
      <c r="B67" t="s">
        <v>2544</v>
      </c>
    </row>
    <row r="68" spans="1:2" x14ac:dyDescent="0.25">
      <c r="A68" t="s">
        <v>601</v>
      </c>
      <c r="B68" t="s">
        <v>1130</v>
      </c>
    </row>
    <row r="69" spans="1:2" x14ac:dyDescent="0.25">
      <c r="A69" t="s">
        <v>603</v>
      </c>
      <c r="B69" t="s">
        <v>1130</v>
      </c>
    </row>
    <row r="70" spans="1:2" x14ac:dyDescent="0.25">
      <c r="A70" t="s">
        <v>611</v>
      </c>
      <c r="B70" t="s">
        <v>187</v>
      </c>
    </row>
    <row r="71" spans="1:2" x14ac:dyDescent="0.25">
      <c r="A71" t="s">
        <v>622</v>
      </c>
      <c r="B71" t="s">
        <v>187</v>
      </c>
    </row>
    <row r="72" spans="1:2" x14ac:dyDescent="0.25">
      <c r="A72" t="s">
        <v>624</v>
      </c>
      <c r="B72" t="s">
        <v>187</v>
      </c>
    </row>
    <row r="73" spans="1:2" x14ac:dyDescent="0.25">
      <c r="A73" t="s">
        <v>628</v>
      </c>
      <c r="B73" t="s">
        <v>187</v>
      </c>
    </row>
    <row r="74" spans="1:2" x14ac:dyDescent="0.25">
      <c r="A74" t="s">
        <v>632</v>
      </c>
      <c r="B74" t="s">
        <v>1130</v>
      </c>
    </row>
    <row r="75" spans="1:2" x14ac:dyDescent="0.25">
      <c r="A75" t="s">
        <v>2808</v>
      </c>
      <c r="B75" t="s">
        <v>2307</v>
      </c>
    </row>
    <row r="76" spans="1:2" x14ac:dyDescent="0.25">
      <c r="A76" t="s">
        <v>606</v>
      </c>
      <c r="B76" t="s">
        <v>1363</v>
      </c>
    </row>
    <row r="77" spans="1:2" x14ac:dyDescent="0.25">
      <c r="A77" t="s">
        <v>624</v>
      </c>
      <c r="B77" t="s">
        <v>1363</v>
      </c>
    </row>
    <row r="78" spans="1:2" x14ac:dyDescent="0.25">
      <c r="A78" t="s">
        <v>627</v>
      </c>
      <c r="B78" t="s">
        <v>1363</v>
      </c>
    </row>
    <row r="79" spans="1:2" x14ac:dyDescent="0.25">
      <c r="A79" t="s">
        <v>632</v>
      </c>
      <c r="B79" t="s">
        <v>204</v>
      </c>
    </row>
    <row r="80" spans="1:2" x14ac:dyDescent="0.25">
      <c r="A80" t="s">
        <v>608</v>
      </c>
      <c r="B80" t="s">
        <v>1468</v>
      </c>
    </row>
    <row r="81" spans="1:2" x14ac:dyDescent="0.25">
      <c r="A81" t="s">
        <v>623</v>
      </c>
      <c r="B81" t="s">
        <v>2271</v>
      </c>
    </row>
    <row r="82" spans="1:2" x14ac:dyDescent="0.25">
      <c r="A82" t="s">
        <v>606</v>
      </c>
      <c r="B82" t="s">
        <v>901</v>
      </c>
    </row>
    <row r="83" spans="1:2" x14ac:dyDescent="0.25">
      <c r="A83" t="s">
        <v>633</v>
      </c>
      <c r="B83" t="s">
        <v>901</v>
      </c>
    </row>
    <row r="84" spans="1:2" x14ac:dyDescent="0.25">
      <c r="A84" t="s">
        <v>614</v>
      </c>
      <c r="B84" t="s">
        <v>111</v>
      </c>
    </row>
    <row r="85" spans="1:2" x14ac:dyDescent="0.25">
      <c r="A85" t="s">
        <v>633</v>
      </c>
      <c r="B85" t="s">
        <v>111</v>
      </c>
    </row>
    <row r="86" spans="1:2" x14ac:dyDescent="0.25">
      <c r="A86" t="s">
        <v>1012</v>
      </c>
      <c r="B86" t="s">
        <v>1949</v>
      </c>
    </row>
    <row r="87" spans="1:2" x14ac:dyDescent="0.25">
      <c r="A87" t="s">
        <v>627</v>
      </c>
      <c r="B87" t="s">
        <v>2400</v>
      </c>
    </row>
    <row r="88" spans="1:2" x14ac:dyDescent="0.25">
      <c r="A88" t="s">
        <v>611</v>
      </c>
      <c r="B88" t="s">
        <v>1700</v>
      </c>
    </row>
    <row r="89" spans="1:2" x14ac:dyDescent="0.25">
      <c r="A89" t="s">
        <v>629</v>
      </c>
      <c r="B89" t="s">
        <v>2437</v>
      </c>
    </row>
    <row r="90" spans="1:2" x14ac:dyDescent="0.25">
      <c r="A90" t="s">
        <v>611</v>
      </c>
      <c r="B90" t="s">
        <v>2617</v>
      </c>
    </row>
    <row r="91" spans="1:2" x14ac:dyDescent="0.25">
      <c r="A91" t="s">
        <v>2808</v>
      </c>
      <c r="B91" t="s">
        <v>2824</v>
      </c>
    </row>
    <row r="92" spans="1:2" x14ac:dyDescent="0.25">
      <c r="A92" t="s">
        <v>633</v>
      </c>
      <c r="B92" t="s">
        <v>2783</v>
      </c>
    </row>
    <row r="93" spans="1:2" x14ac:dyDescent="0.25">
      <c r="A93" t="s">
        <v>611</v>
      </c>
      <c r="B93" t="s">
        <v>1688</v>
      </c>
    </row>
    <row r="94" spans="1:2" x14ac:dyDescent="0.25">
      <c r="A94" t="s">
        <v>2616</v>
      </c>
      <c r="B94" t="s">
        <v>1829</v>
      </c>
    </row>
    <row r="95" spans="1:2" x14ac:dyDescent="0.25">
      <c r="A95" t="s">
        <v>614</v>
      </c>
      <c r="B95" t="s">
        <v>1829</v>
      </c>
    </row>
    <row r="96" spans="1:2" x14ac:dyDescent="0.25">
      <c r="A96" t="s">
        <v>605</v>
      </c>
      <c r="B96" t="s">
        <v>1061</v>
      </c>
    </row>
    <row r="97" spans="1:2" x14ac:dyDescent="0.25">
      <c r="A97" t="s">
        <v>608</v>
      </c>
      <c r="B97" t="s">
        <v>1487</v>
      </c>
    </row>
    <row r="98" spans="1:2" x14ac:dyDescent="0.25">
      <c r="A98" t="s">
        <v>601</v>
      </c>
      <c r="B98" t="s">
        <v>1145</v>
      </c>
    </row>
    <row r="99" spans="1:2" x14ac:dyDescent="0.25">
      <c r="A99" t="s">
        <v>604</v>
      </c>
      <c r="B99" t="s">
        <v>1256</v>
      </c>
    </row>
    <row r="100" spans="1:2" x14ac:dyDescent="0.25">
      <c r="A100" t="s">
        <v>630</v>
      </c>
      <c r="B100" t="s">
        <v>2486</v>
      </c>
    </row>
    <row r="101" spans="1:2" x14ac:dyDescent="0.25">
      <c r="A101" t="s">
        <v>611</v>
      </c>
      <c r="B101" t="s">
        <v>1708</v>
      </c>
    </row>
    <row r="102" spans="1:2" x14ac:dyDescent="0.25">
      <c r="A102" t="s">
        <v>622</v>
      </c>
      <c r="B102" t="s">
        <v>1708</v>
      </c>
    </row>
    <row r="103" spans="1:2" x14ac:dyDescent="0.25">
      <c r="A103" t="s">
        <v>632</v>
      </c>
      <c r="B103" t="s">
        <v>1708</v>
      </c>
    </row>
    <row r="104" spans="1:2" x14ac:dyDescent="0.25">
      <c r="A104" t="s">
        <v>607</v>
      </c>
      <c r="B104" t="s">
        <v>1413</v>
      </c>
    </row>
    <row r="105" spans="1:2" x14ac:dyDescent="0.25">
      <c r="A105" t="s">
        <v>610</v>
      </c>
      <c r="B105" t="s">
        <v>1413</v>
      </c>
    </row>
    <row r="106" spans="1:2" x14ac:dyDescent="0.25">
      <c r="A106" t="s">
        <v>628</v>
      </c>
      <c r="B106" t="s">
        <v>1413</v>
      </c>
    </row>
    <row r="107" spans="1:2" x14ac:dyDescent="0.25">
      <c r="A107" t="s">
        <v>623</v>
      </c>
      <c r="B107" t="s">
        <v>2244</v>
      </c>
    </row>
    <row r="108" spans="1:2" x14ac:dyDescent="0.25">
      <c r="A108" t="s">
        <v>603</v>
      </c>
      <c r="B108" t="s">
        <v>923</v>
      </c>
    </row>
    <row r="109" spans="1:2" x14ac:dyDescent="0.25">
      <c r="A109" t="s">
        <v>606</v>
      </c>
      <c r="B109" t="s">
        <v>923</v>
      </c>
    </row>
    <row r="110" spans="1:2" x14ac:dyDescent="0.25">
      <c r="A110" t="s">
        <v>610</v>
      </c>
      <c r="B110" t="s">
        <v>923</v>
      </c>
    </row>
    <row r="111" spans="1:2" x14ac:dyDescent="0.25">
      <c r="A111" t="s">
        <v>612</v>
      </c>
      <c r="B111" t="s">
        <v>923</v>
      </c>
    </row>
    <row r="112" spans="1:2" x14ac:dyDescent="0.25">
      <c r="A112" t="s">
        <v>831</v>
      </c>
      <c r="B112" t="s">
        <v>923</v>
      </c>
    </row>
    <row r="113" spans="1:2" x14ac:dyDescent="0.25">
      <c r="A113" t="s">
        <v>616</v>
      </c>
      <c r="B113" t="s">
        <v>923</v>
      </c>
    </row>
    <row r="114" spans="1:2" x14ac:dyDescent="0.25">
      <c r="A114" t="s">
        <v>1012</v>
      </c>
      <c r="B114" t="s">
        <v>923</v>
      </c>
    </row>
    <row r="115" spans="1:2" x14ac:dyDescent="0.25">
      <c r="A115" t="s">
        <v>635</v>
      </c>
      <c r="B115" t="s">
        <v>923</v>
      </c>
    </row>
    <row r="116" spans="1:2" x14ac:dyDescent="0.25">
      <c r="A116" t="s">
        <v>620</v>
      </c>
      <c r="B116" t="s">
        <v>923</v>
      </c>
    </row>
    <row r="117" spans="1:2" x14ac:dyDescent="0.25">
      <c r="A117" t="s">
        <v>623</v>
      </c>
      <c r="B117" t="s">
        <v>923</v>
      </c>
    </row>
    <row r="118" spans="1:2" x14ac:dyDescent="0.25">
      <c r="A118" t="s">
        <v>624</v>
      </c>
      <c r="B118" t="s">
        <v>923</v>
      </c>
    </row>
    <row r="119" spans="1:2" x14ac:dyDescent="0.25">
      <c r="A119" t="s">
        <v>627</v>
      </c>
      <c r="B119" t="s">
        <v>923</v>
      </c>
    </row>
    <row r="120" spans="1:2" x14ac:dyDescent="0.25">
      <c r="A120" t="s">
        <v>628</v>
      </c>
      <c r="B120" t="s">
        <v>923</v>
      </c>
    </row>
    <row r="121" spans="1:2" x14ac:dyDescent="0.25">
      <c r="A121" t="s">
        <v>629</v>
      </c>
      <c r="B121" t="s">
        <v>923</v>
      </c>
    </row>
    <row r="122" spans="1:2" x14ac:dyDescent="0.25">
      <c r="A122" t="s">
        <v>612</v>
      </c>
      <c r="B122" t="s">
        <v>1721</v>
      </c>
    </row>
    <row r="123" spans="1:2" x14ac:dyDescent="0.25">
      <c r="A123" t="s">
        <v>627</v>
      </c>
      <c r="B123" t="s">
        <v>2375</v>
      </c>
    </row>
    <row r="124" spans="1:2" x14ac:dyDescent="0.25">
      <c r="A124" t="s">
        <v>627</v>
      </c>
      <c r="B124" t="s">
        <v>2377</v>
      </c>
    </row>
    <row r="125" spans="1:2" x14ac:dyDescent="0.25">
      <c r="A125" t="s">
        <v>627</v>
      </c>
      <c r="B125" t="s">
        <v>2376</v>
      </c>
    </row>
    <row r="126" spans="1:2" x14ac:dyDescent="0.25">
      <c r="A126" t="s">
        <v>627</v>
      </c>
      <c r="B126" t="s">
        <v>2373</v>
      </c>
    </row>
    <row r="127" spans="1:2" x14ac:dyDescent="0.25">
      <c r="A127" t="s">
        <v>627</v>
      </c>
      <c r="B127" t="s">
        <v>2379</v>
      </c>
    </row>
    <row r="128" spans="1:2" x14ac:dyDescent="0.25">
      <c r="A128" t="s">
        <v>627</v>
      </c>
      <c r="B128" t="s">
        <v>2374</v>
      </c>
    </row>
    <row r="129" spans="1:2" x14ac:dyDescent="0.25">
      <c r="A129" t="s">
        <v>627</v>
      </c>
      <c r="B129" t="s">
        <v>2380</v>
      </c>
    </row>
    <row r="130" spans="1:2" x14ac:dyDescent="0.25">
      <c r="A130" t="s">
        <v>627</v>
      </c>
      <c r="B130" t="s">
        <v>2378</v>
      </c>
    </row>
    <row r="131" spans="1:2" x14ac:dyDescent="0.25">
      <c r="A131" t="s">
        <v>627</v>
      </c>
      <c r="B131" t="s">
        <v>2381</v>
      </c>
    </row>
    <row r="132" spans="1:2" x14ac:dyDescent="0.25">
      <c r="A132" t="s">
        <v>633</v>
      </c>
      <c r="B132" t="s">
        <v>2558</v>
      </c>
    </row>
    <row r="133" spans="1:2" x14ac:dyDescent="0.25">
      <c r="A133" t="s">
        <v>610</v>
      </c>
      <c r="B133" t="s">
        <v>1665</v>
      </c>
    </row>
    <row r="134" spans="1:2" x14ac:dyDescent="0.25">
      <c r="A134" t="s">
        <v>629</v>
      </c>
      <c r="B134" t="s">
        <v>1665</v>
      </c>
    </row>
    <row r="135" spans="1:2" x14ac:dyDescent="0.25">
      <c r="A135" t="s">
        <v>601</v>
      </c>
      <c r="B135" t="s">
        <v>5</v>
      </c>
    </row>
    <row r="136" spans="1:2" x14ac:dyDescent="0.25">
      <c r="A136" t="s">
        <v>603</v>
      </c>
      <c r="B136" t="s">
        <v>1247</v>
      </c>
    </row>
    <row r="137" spans="1:2" x14ac:dyDescent="0.25">
      <c r="A137" t="s">
        <v>613</v>
      </c>
      <c r="B137" t="s">
        <v>1804</v>
      </c>
    </row>
    <row r="138" spans="1:2" x14ac:dyDescent="0.25">
      <c r="A138" t="s">
        <v>607</v>
      </c>
      <c r="B138" t="s">
        <v>1423</v>
      </c>
    </row>
    <row r="139" spans="1:2" x14ac:dyDescent="0.25">
      <c r="A139" t="s">
        <v>624</v>
      </c>
      <c r="B139" t="s">
        <v>2209</v>
      </c>
    </row>
    <row r="140" spans="1:2" x14ac:dyDescent="0.25">
      <c r="A140" t="s">
        <v>620</v>
      </c>
      <c r="B140" t="s">
        <v>2769</v>
      </c>
    </row>
    <row r="141" spans="1:2" x14ac:dyDescent="0.25">
      <c r="A141" t="s">
        <v>615</v>
      </c>
      <c r="B141" t="s">
        <v>1857</v>
      </c>
    </row>
    <row r="142" spans="1:2" x14ac:dyDescent="0.25">
      <c r="A142" t="s">
        <v>617</v>
      </c>
      <c r="B142" t="s">
        <v>1857</v>
      </c>
    </row>
    <row r="143" spans="1:2" x14ac:dyDescent="0.25">
      <c r="A143" t="s">
        <v>619</v>
      </c>
      <c r="B143" t="s">
        <v>1857</v>
      </c>
    </row>
    <row r="144" spans="1:2" x14ac:dyDescent="0.25">
      <c r="A144" t="s">
        <v>620</v>
      </c>
      <c r="B144" t="s">
        <v>1857</v>
      </c>
    </row>
    <row r="145" spans="1:2" x14ac:dyDescent="0.25">
      <c r="A145" t="s">
        <v>606</v>
      </c>
      <c r="B145" t="s">
        <v>1375</v>
      </c>
    </row>
    <row r="146" spans="1:2" x14ac:dyDescent="0.25">
      <c r="A146" t="s">
        <v>602</v>
      </c>
      <c r="B146" t="s">
        <v>1165</v>
      </c>
    </row>
    <row r="147" spans="1:2" x14ac:dyDescent="0.25">
      <c r="A147" t="s">
        <v>614</v>
      </c>
      <c r="B147" t="s">
        <v>2748</v>
      </c>
    </row>
    <row r="148" spans="1:2" x14ac:dyDescent="0.25">
      <c r="A148" t="s">
        <v>618</v>
      </c>
      <c r="B148" t="s">
        <v>2058</v>
      </c>
    </row>
    <row r="149" spans="1:2" x14ac:dyDescent="0.25">
      <c r="A149" t="s">
        <v>615</v>
      </c>
      <c r="B149" t="s">
        <v>1872</v>
      </c>
    </row>
    <row r="150" spans="1:2" x14ac:dyDescent="0.25">
      <c r="A150" t="s">
        <v>1012</v>
      </c>
      <c r="B150" t="s">
        <v>1601</v>
      </c>
    </row>
    <row r="151" spans="1:2" x14ac:dyDescent="0.25">
      <c r="A151" t="s">
        <v>1045</v>
      </c>
      <c r="B151" t="s">
        <v>2066</v>
      </c>
    </row>
    <row r="152" spans="1:2" x14ac:dyDescent="0.25">
      <c r="A152" t="s">
        <v>1012</v>
      </c>
      <c r="B152" t="s">
        <v>1943</v>
      </c>
    </row>
    <row r="153" spans="1:2" x14ac:dyDescent="0.25">
      <c r="A153" t="s">
        <v>602</v>
      </c>
      <c r="B153" t="s">
        <v>1170</v>
      </c>
    </row>
    <row r="154" spans="1:2" x14ac:dyDescent="0.25">
      <c r="A154" t="s">
        <v>614</v>
      </c>
      <c r="B154" t="s">
        <v>2749</v>
      </c>
    </row>
    <row r="155" spans="1:2" x14ac:dyDescent="0.25">
      <c r="A155" t="s">
        <v>622</v>
      </c>
      <c r="B155" t="s">
        <v>2223</v>
      </c>
    </row>
    <row r="156" spans="1:2" x14ac:dyDescent="0.25">
      <c r="A156" t="s">
        <v>613</v>
      </c>
      <c r="B156" t="s">
        <v>975</v>
      </c>
    </row>
    <row r="157" spans="1:2" x14ac:dyDescent="0.25">
      <c r="A157" t="s">
        <v>831</v>
      </c>
      <c r="B157" t="s">
        <v>685</v>
      </c>
    </row>
    <row r="158" spans="1:2" x14ac:dyDescent="0.25">
      <c r="A158" t="s">
        <v>1012</v>
      </c>
      <c r="B158" t="s">
        <v>685</v>
      </c>
    </row>
    <row r="159" spans="1:2" x14ac:dyDescent="0.25">
      <c r="A159" t="s">
        <v>622</v>
      </c>
      <c r="B159" t="s">
        <v>685</v>
      </c>
    </row>
    <row r="160" spans="1:2" x14ac:dyDescent="0.25">
      <c r="A160" t="s">
        <v>632</v>
      </c>
      <c r="B160" t="s">
        <v>2547</v>
      </c>
    </row>
    <row r="161" spans="1:2" x14ac:dyDescent="0.25">
      <c r="A161" t="s">
        <v>607</v>
      </c>
      <c r="B161" t="s">
        <v>1447</v>
      </c>
    </row>
    <row r="162" spans="1:2" x14ac:dyDescent="0.25">
      <c r="A162" t="s">
        <v>623</v>
      </c>
      <c r="B162" t="s">
        <v>2278</v>
      </c>
    </row>
    <row r="163" spans="1:2" x14ac:dyDescent="0.25">
      <c r="A163" t="s">
        <v>633</v>
      </c>
      <c r="B163" t="s">
        <v>2572</v>
      </c>
    </row>
    <row r="164" spans="1:2" x14ac:dyDescent="0.25">
      <c r="A164" t="s">
        <v>606</v>
      </c>
      <c r="B164" t="s">
        <v>1408</v>
      </c>
    </row>
    <row r="165" spans="1:2" x14ac:dyDescent="0.25">
      <c r="A165" t="s">
        <v>610</v>
      </c>
      <c r="B165" t="s">
        <v>1408</v>
      </c>
    </row>
    <row r="166" spans="1:2" x14ac:dyDescent="0.25">
      <c r="A166" t="s">
        <v>601</v>
      </c>
      <c r="B166" t="s">
        <v>12</v>
      </c>
    </row>
    <row r="167" spans="1:2" x14ac:dyDescent="0.25">
      <c r="A167" t="s">
        <v>831</v>
      </c>
      <c r="B167" t="s">
        <v>12</v>
      </c>
    </row>
    <row r="168" spans="1:2" x14ac:dyDescent="0.25">
      <c r="A168" t="s">
        <v>613</v>
      </c>
      <c r="B168" t="s">
        <v>12</v>
      </c>
    </row>
    <row r="169" spans="1:2" x14ac:dyDescent="0.25">
      <c r="A169" t="s">
        <v>1012</v>
      </c>
      <c r="B169" t="s">
        <v>12</v>
      </c>
    </row>
    <row r="170" spans="1:2" x14ac:dyDescent="0.25">
      <c r="A170" t="s">
        <v>635</v>
      </c>
      <c r="B170" t="s">
        <v>12</v>
      </c>
    </row>
    <row r="171" spans="1:2" x14ac:dyDescent="0.25">
      <c r="A171" t="s">
        <v>915</v>
      </c>
      <c r="B171" t="s">
        <v>12</v>
      </c>
    </row>
    <row r="172" spans="1:2" x14ac:dyDescent="0.25">
      <c r="A172" t="s">
        <v>632</v>
      </c>
      <c r="B172" t="s">
        <v>12</v>
      </c>
    </row>
    <row r="173" spans="1:2" x14ac:dyDescent="0.25">
      <c r="A173" t="s">
        <v>604</v>
      </c>
      <c r="B173" t="s">
        <v>1318</v>
      </c>
    </row>
    <row r="174" spans="1:2" x14ac:dyDescent="0.25">
      <c r="A174" t="s">
        <v>602</v>
      </c>
      <c r="B174" t="s">
        <v>1166</v>
      </c>
    </row>
    <row r="175" spans="1:2" x14ac:dyDescent="0.25">
      <c r="A175" t="s">
        <v>601</v>
      </c>
      <c r="B175" t="s">
        <v>7</v>
      </c>
    </row>
    <row r="176" spans="1:2" x14ac:dyDescent="0.25">
      <c r="A176" t="s">
        <v>607</v>
      </c>
      <c r="B176" t="s">
        <v>1463</v>
      </c>
    </row>
    <row r="177" spans="1:2" x14ac:dyDescent="0.25">
      <c r="A177" t="s">
        <v>635</v>
      </c>
      <c r="B177" t="s">
        <v>643</v>
      </c>
    </row>
    <row r="178" spans="1:2" x14ac:dyDescent="0.25">
      <c r="A178" t="s">
        <v>2808</v>
      </c>
      <c r="B178" t="s">
        <v>2806</v>
      </c>
    </row>
    <row r="179" spans="1:2" x14ac:dyDescent="0.25">
      <c r="A179" t="s">
        <v>2808</v>
      </c>
      <c r="B179" t="s">
        <v>1031</v>
      </c>
    </row>
    <row r="180" spans="1:2" x14ac:dyDescent="0.25">
      <c r="A180" t="s">
        <v>607</v>
      </c>
      <c r="B180" t="s">
        <v>1441</v>
      </c>
    </row>
    <row r="181" spans="1:2" x14ac:dyDescent="0.25">
      <c r="A181" t="s">
        <v>635</v>
      </c>
      <c r="B181" t="s">
        <v>1950</v>
      </c>
    </row>
    <row r="182" spans="1:2" x14ac:dyDescent="0.25">
      <c r="A182" t="s">
        <v>603</v>
      </c>
      <c r="B182" t="s">
        <v>1235</v>
      </c>
    </row>
    <row r="183" spans="1:2" x14ac:dyDescent="0.25">
      <c r="A183" t="s">
        <v>614</v>
      </c>
      <c r="B183" t="s">
        <v>1825</v>
      </c>
    </row>
    <row r="184" spans="1:2" x14ac:dyDescent="0.25">
      <c r="A184" t="s">
        <v>602</v>
      </c>
      <c r="B184" t="s">
        <v>1168</v>
      </c>
    </row>
    <row r="185" spans="1:2" x14ac:dyDescent="0.25">
      <c r="A185" t="s">
        <v>953</v>
      </c>
      <c r="B185" t="s">
        <v>998</v>
      </c>
    </row>
    <row r="186" spans="1:2" x14ac:dyDescent="0.25">
      <c r="A186" t="s">
        <v>604</v>
      </c>
      <c r="B186" t="s">
        <v>181</v>
      </c>
    </row>
    <row r="187" spans="1:2" x14ac:dyDescent="0.25">
      <c r="A187" t="s">
        <v>602</v>
      </c>
      <c r="B187" t="s">
        <v>2734</v>
      </c>
    </row>
    <row r="188" spans="1:2" x14ac:dyDescent="0.25">
      <c r="A188" t="s">
        <v>953</v>
      </c>
      <c r="B188" t="s">
        <v>2734</v>
      </c>
    </row>
    <row r="189" spans="1:2" x14ac:dyDescent="0.25">
      <c r="A189" t="s">
        <v>614</v>
      </c>
      <c r="B189" t="s">
        <v>1834</v>
      </c>
    </row>
    <row r="190" spans="1:2" x14ac:dyDescent="0.25">
      <c r="A190" t="s">
        <v>1012</v>
      </c>
      <c r="B190" t="s">
        <v>1947</v>
      </c>
    </row>
    <row r="191" spans="1:2" x14ac:dyDescent="0.25">
      <c r="A191" t="s">
        <v>605</v>
      </c>
      <c r="B191" t="s">
        <v>2597</v>
      </c>
    </row>
    <row r="192" spans="1:2" x14ac:dyDescent="0.25">
      <c r="A192" t="s">
        <v>604</v>
      </c>
      <c r="B192" t="s">
        <v>1281</v>
      </c>
    </row>
    <row r="193" spans="1:2" x14ac:dyDescent="0.25">
      <c r="A193" t="s">
        <v>602</v>
      </c>
      <c r="B193" t="s">
        <v>1155</v>
      </c>
    </row>
    <row r="194" spans="1:2" x14ac:dyDescent="0.25">
      <c r="A194" t="s">
        <v>617</v>
      </c>
      <c r="B194" t="s">
        <v>2024</v>
      </c>
    </row>
    <row r="195" spans="1:2" x14ac:dyDescent="0.25">
      <c r="A195" t="s">
        <v>607</v>
      </c>
      <c r="B195" t="s">
        <v>1428</v>
      </c>
    </row>
    <row r="196" spans="1:2" x14ac:dyDescent="0.25">
      <c r="A196" t="s">
        <v>610</v>
      </c>
      <c r="B196" t="s">
        <v>1637</v>
      </c>
    </row>
    <row r="197" spans="1:2" x14ac:dyDescent="0.25">
      <c r="A197" t="s">
        <v>616</v>
      </c>
      <c r="B197" t="s">
        <v>1908</v>
      </c>
    </row>
    <row r="198" spans="1:2" x14ac:dyDescent="0.25">
      <c r="A198" t="s">
        <v>603</v>
      </c>
      <c r="B198" t="s">
        <v>956</v>
      </c>
    </row>
    <row r="199" spans="1:2" x14ac:dyDescent="0.25">
      <c r="A199" t="s">
        <v>606</v>
      </c>
      <c r="B199" t="s">
        <v>956</v>
      </c>
    </row>
    <row r="200" spans="1:2" x14ac:dyDescent="0.25">
      <c r="A200" t="s">
        <v>616</v>
      </c>
      <c r="B200" t="s">
        <v>956</v>
      </c>
    </row>
    <row r="201" spans="1:2" x14ac:dyDescent="0.25">
      <c r="A201" t="s">
        <v>623</v>
      </c>
      <c r="B201" t="s">
        <v>956</v>
      </c>
    </row>
    <row r="202" spans="1:2" x14ac:dyDescent="0.25">
      <c r="A202" t="s">
        <v>624</v>
      </c>
      <c r="B202" t="s">
        <v>956</v>
      </c>
    </row>
    <row r="203" spans="1:2" x14ac:dyDescent="0.25">
      <c r="A203" t="s">
        <v>628</v>
      </c>
      <c r="B203" t="s">
        <v>956</v>
      </c>
    </row>
    <row r="204" spans="1:2" x14ac:dyDescent="0.25">
      <c r="A204" t="s">
        <v>629</v>
      </c>
      <c r="B204" t="s">
        <v>956</v>
      </c>
    </row>
    <row r="205" spans="1:2" x14ac:dyDescent="0.25">
      <c r="A205" t="s">
        <v>631</v>
      </c>
      <c r="B205" t="s">
        <v>956</v>
      </c>
    </row>
    <row r="206" spans="1:2" x14ac:dyDescent="0.25">
      <c r="A206" t="s">
        <v>2808</v>
      </c>
      <c r="B206" t="s">
        <v>2299</v>
      </c>
    </row>
    <row r="207" spans="1:2" x14ac:dyDescent="0.25">
      <c r="A207" t="s">
        <v>627</v>
      </c>
      <c r="B207" t="s">
        <v>2299</v>
      </c>
    </row>
    <row r="208" spans="1:2" x14ac:dyDescent="0.25">
      <c r="A208" t="s">
        <v>601</v>
      </c>
      <c r="B208" t="s">
        <v>917</v>
      </c>
    </row>
    <row r="209" spans="1:2" x14ac:dyDescent="0.25">
      <c r="A209" t="s">
        <v>613</v>
      </c>
      <c r="B209" t="s">
        <v>917</v>
      </c>
    </row>
    <row r="210" spans="1:2" x14ac:dyDescent="0.25">
      <c r="A210" t="s">
        <v>618</v>
      </c>
      <c r="B210" t="s">
        <v>917</v>
      </c>
    </row>
    <row r="211" spans="1:2" x14ac:dyDescent="0.25">
      <c r="A211" t="s">
        <v>632</v>
      </c>
      <c r="B211" t="s">
        <v>917</v>
      </c>
    </row>
    <row r="212" spans="1:2" x14ac:dyDescent="0.25">
      <c r="A212" t="s">
        <v>608</v>
      </c>
      <c r="B212" t="s">
        <v>1467</v>
      </c>
    </row>
    <row r="213" spans="1:2" x14ac:dyDescent="0.25">
      <c r="A213" t="s">
        <v>831</v>
      </c>
      <c r="B213" t="s">
        <v>1755</v>
      </c>
    </row>
    <row r="214" spans="1:2" x14ac:dyDescent="0.25">
      <c r="A214" t="s">
        <v>635</v>
      </c>
      <c r="B214" t="s">
        <v>1974</v>
      </c>
    </row>
    <row r="215" spans="1:2" x14ac:dyDescent="0.25">
      <c r="A215" t="s">
        <v>624</v>
      </c>
      <c r="B215" t="s">
        <v>741</v>
      </c>
    </row>
    <row r="216" spans="1:2" x14ac:dyDescent="0.25">
      <c r="A216" t="s">
        <v>604</v>
      </c>
      <c r="B216" t="s">
        <v>1258</v>
      </c>
    </row>
    <row r="217" spans="1:2" x14ac:dyDescent="0.25">
      <c r="A217" t="s">
        <v>622</v>
      </c>
      <c r="B217" t="s">
        <v>162</v>
      </c>
    </row>
    <row r="218" spans="1:2" x14ac:dyDescent="0.25">
      <c r="A218" t="s">
        <v>610</v>
      </c>
      <c r="B218" t="s">
        <v>1654</v>
      </c>
    </row>
    <row r="219" spans="1:2" x14ac:dyDescent="0.25">
      <c r="A219" t="s">
        <v>609</v>
      </c>
      <c r="B219" t="s">
        <v>1560</v>
      </c>
    </row>
    <row r="220" spans="1:2" x14ac:dyDescent="0.25">
      <c r="A220" t="s">
        <v>615</v>
      </c>
      <c r="B220" t="s">
        <v>1862</v>
      </c>
    </row>
    <row r="221" spans="1:2" x14ac:dyDescent="0.25">
      <c r="A221" t="s">
        <v>624</v>
      </c>
      <c r="B221" t="s">
        <v>1862</v>
      </c>
    </row>
    <row r="222" spans="1:2" x14ac:dyDescent="0.25">
      <c r="A222" t="s">
        <v>610</v>
      </c>
      <c r="B222" t="s">
        <v>1649</v>
      </c>
    </row>
    <row r="223" spans="1:2" x14ac:dyDescent="0.25">
      <c r="A223" t="s">
        <v>604</v>
      </c>
      <c r="B223" t="s">
        <v>2787</v>
      </c>
    </row>
    <row r="224" spans="1:2" x14ac:dyDescent="0.25">
      <c r="A224" t="s">
        <v>602</v>
      </c>
      <c r="B224" t="s">
        <v>1093</v>
      </c>
    </row>
    <row r="225" spans="1:2" x14ac:dyDescent="0.25">
      <c r="A225" t="s">
        <v>2808</v>
      </c>
      <c r="B225" t="s">
        <v>2319</v>
      </c>
    </row>
    <row r="226" spans="1:2" x14ac:dyDescent="0.25">
      <c r="A226" t="s">
        <v>602</v>
      </c>
      <c r="B226" t="s">
        <v>1156</v>
      </c>
    </row>
    <row r="227" spans="1:2" x14ac:dyDescent="0.25">
      <c r="A227" t="s">
        <v>605</v>
      </c>
      <c r="B227" t="s">
        <v>1156</v>
      </c>
    </row>
    <row r="228" spans="1:2" x14ac:dyDescent="0.25">
      <c r="A228" t="s">
        <v>606</v>
      </c>
      <c r="B228" t="s">
        <v>1156</v>
      </c>
    </row>
    <row r="229" spans="1:2" x14ac:dyDescent="0.25">
      <c r="A229" t="s">
        <v>614</v>
      </c>
      <c r="B229" t="s">
        <v>1156</v>
      </c>
    </row>
    <row r="230" spans="1:2" x14ac:dyDescent="0.25">
      <c r="A230" t="s">
        <v>616</v>
      </c>
      <c r="B230" t="s">
        <v>1156</v>
      </c>
    </row>
    <row r="231" spans="1:2" x14ac:dyDescent="0.25">
      <c r="A231" t="s">
        <v>631</v>
      </c>
      <c r="B231" t="s">
        <v>1156</v>
      </c>
    </row>
    <row r="232" spans="1:2" x14ac:dyDescent="0.25">
      <c r="A232" t="s">
        <v>628</v>
      </c>
      <c r="B232" t="s">
        <v>2428</v>
      </c>
    </row>
    <row r="233" spans="1:2" x14ac:dyDescent="0.25">
      <c r="A233" t="s">
        <v>604</v>
      </c>
      <c r="B233" t="s">
        <v>2802</v>
      </c>
    </row>
    <row r="234" spans="1:2" x14ac:dyDescent="0.25">
      <c r="A234" t="s">
        <v>605</v>
      </c>
      <c r="B234" t="s">
        <v>1319</v>
      </c>
    </row>
    <row r="235" spans="1:2" x14ac:dyDescent="0.25">
      <c r="A235" t="s">
        <v>602</v>
      </c>
      <c r="B235" t="s">
        <v>1196</v>
      </c>
    </row>
    <row r="236" spans="1:2" x14ac:dyDescent="0.25">
      <c r="A236" t="s">
        <v>605</v>
      </c>
      <c r="B236" t="s">
        <v>15</v>
      </c>
    </row>
    <row r="237" spans="1:2" x14ac:dyDescent="0.25">
      <c r="A237" t="s">
        <v>1012</v>
      </c>
      <c r="B237" t="s">
        <v>15</v>
      </c>
    </row>
    <row r="238" spans="1:2" x14ac:dyDescent="0.25">
      <c r="A238" t="s">
        <v>635</v>
      </c>
      <c r="B238" t="s">
        <v>15</v>
      </c>
    </row>
    <row r="239" spans="1:2" x14ac:dyDescent="0.25">
      <c r="A239" t="s">
        <v>632</v>
      </c>
      <c r="B239" t="s">
        <v>15</v>
      </c>
    </row>
    <row r="240" spans="1:2" x14ac:dyDescent="0.25">
      <c r="A240" t="s">
        <v>608</v>
      </c>
      <c r="B240" t="s">
        <v>1488</v>
      </c>
    </row>
    <row r="241" spans="1:2" x14ac:dyDescent="0.25">
      <c r="A241" t="s">
        <v>601</v>
      </c>
      <c r="B241" t="s">
        <v>10</v>
      </c>
    </row>
    <row r="242" spans="1:2" x14ac:dyDescent="0.25">
      <c r="A242" t="s">
        <v>953</v>
      </c>
      <c r="B242" t="s">
        <v>10</v>
      </c>
    </row>
    <row r="243" spans="1:2" x14ac:dyDescent="0.25">
      <c r="A243" t="s">
        <v>604</v>
      </c>
      <c r="B243" t="s">
        <v>1316</v>
      </c>
    </row>
    <row r="244" spans="1:2" x14ac:dyDescent="0.25">
      <c r="A244" t="s">
        <v>613</v>
      </c>
      <c r="B244" t="s">
        <v>1095</v>
      </c>
    </row>
    <row r="245" spans="1:2" x14ac:dyDescent="0.25">
      <c r="A245" t="s">
        <v>632</v>
      </c>
      <c r="B245" t="s">
        <v>1095</v>
      </c>
    </row>
    <row r="246" spans="1:2" x14ac:dyDescent="0.25">
      <c r="A246" t="s">
        <v>1045</v>
      </c>
      <c r="B246" t="s">
        <v>1072</v>
      </c>
    </row>
    <row r="247" spans="1:2" x14ac:dyDescent="0.25">
      <c r="A247" t="s">
        <v>606</v>
      </c>
      <c r="B247" t="s">
        <v>1220</v>
      </c>
    </row>
    <row r="248" spans="1:2" x14ac:dyDescent="0.25">
      <c r="A248" t="s">
        <v>617</v>
      </c>
      <c r="B248" t="s">
        <v>1220</v>
      </c>
    </row>
    <row r="249" spans="1:2" x14ac:dyDescent="0.25">
      <c r="A249" t="s">
        <v>619</v>
      </c>
      <c r="B249" t="s">
        <v>1220</v>
      </c>
    </row>
    <row r="250" spans="1:2" x14ac:dyDescent="0.25">
      <c r="A250" t="s">
        <v>618</v>
      </c>
      <c r="B250" t="s">
        <v>793</v>
      </c>
    </row>
    <row r="251" spans="1:2" x14ac:dyDescent="0.25">
      <c r="A251" t="s">
        <v>633</v>
      </c>
      <c r="B251" t="s">
        <v>793</v>
      </c>
    </row>
    <row r="252" spans="1:2" x14ac:dyDescent="0.25">
      <c r="A252" t="s">
        <v>915</v>
      </c>
      <c r="B252" t="s">
        <v>2158</v>
      </c>
    </row>
    <row r="253" spans="1:2" x14ac:dyDescent="0.25">
      <c r="A253" t="s">
        <v>624</v>
      </c>
      <c r="B253" t="s">
        <v>2346</v>
      </c>
    </row>
    <row r="254" spans="1:2" x14ac:dyDescent="0.25">
      <c r="A254" t="s">
        <v>606</v>
      </c>
      <c r="B254" t="s">
        <v>1392</v>
      </c>
    </row>
    <row r="255" spans="1:2" x14ac:dyDescent="0.25">
      <c r="A255" t="s">
        <v>608</v>
      </c>
      <c r="B255" t="s">
        <v>1478</v>
      </c>
    </row>
    <row r="256" spans="1:2" x14ac:dyDescent="0.25">
      <c r="A256" t="s">
        <v>1012</v>
      </c>
      <c r="B256" t="s">
        <v>1611</v>
      </c>
    </row>
    <row r="257" spans="1:2" x14ac:dyDescent="0.25">
      <c r="A257" t="s">
        <v>618</v>
      </c>
      <c r="B257" t="s">
        <v>1611</v>
      </c>
    </row>
    <row r="258" spans="1:2" x14ac:dyDescent="0.25">
      <c r="A258" t="s">
        <v>632</v>
      </c>
      <c r="B258" t="s">
        <v>1611</v>
      </c>
    </row>
    <row r="259" spans="1:2" x14ac:dyDescent="0.25">
      <c r="A259" t="s">
        <v>953</v>
      </c>
      <c r="B259" t="s">
        <v>967</v>
      </c>
    </row>
    <row r="260" spans="1:2" x14ac:dyDescent="0.25">
      <c r="A260" t="s">
        <v>613</v>
      </c>
      <c r="B260" t="s">
        <v>967</v>
      </c>
    </row>
    <row r="261" spans="1:2" x14ac:dyDescent="0.25">
      <c r="A261" t="s">
        <v>627</v>
      </c>
      <c r="B261" t="s">
        <v>967</v>
      </c>
    </row>
    <row r="262" spans="1:2" x14ac:dyDescent="0.25">
      <c r="A262" t="s">
        <v>602</v>
      </c>
      <c r="B262" t="s">
        <v>1197</v>
      </c>
    </row>
    <row r="263" spans="1:2" x14ac:dyDescent="0.25">
      <c r="A263" t="s">
        <v>620</v>
      </c>
      <c r="B263" t="s">
        <v>2174</v>
      </c>
    </row>
    <row r="264" spans="1:2" x14ac:dyDescent="0.25">
      <c r="A264" t="s">
        <v>603</v>
      </c>
      <c r="B264" t="s">
        <v>2735</v>
      </c>
    </row>
    <row r="265" spans="1:2" x14ac:dyDescent="0.25">
      <c r="A265" t="s">
        <v>635</v>
      </c>
      <c r="B265" t="s">
        <v>1968</v>
      </c>
    </row>
    <row r="266" spans="1:2" x14ac:dyDescent="0.25">
      <c r="A266" t="s">
        <v>601</v>
      </c>
      <c r="B266" t="s">
        <v>1147</v>
      </c>
    </row>
    <row r="267" spans="1:2" x14ac:dyDescent="0.25">
      <c r="A267" t="s">
        <v>602</v>
      </c>
      <c r="B267" t="s">
        <v>1163</v>
      </c>
    </row>
    <row r="268" spans="1:2" x14ac:dyDescent="0.25">
      <c r="A268" t="s">
        <v>602</v>
      </c>
      <c r="B268" t="s">
        <v>16</v>
      </c>
    </row>
    <row r="269" spans="1:2" x14ac:dyDescent="0.25">
      <c r="A269" t="s">
        <v>611</v>
      </c>
      <c r="B269" t="s">
        <v>16</v>
      </c>
    </row>
    <row r="270" spans="1:2" x14ac:dyDescent="0.25">
      <c r="A270" t="s">
        <v>612</v>
      </c>
      <c r="B270" t="s">
        <v>16</v>
      </c>
    </row>
    <row r="271" spans="1:2" x14ac:dyDescent="0.25">
      <c r="A271" t="s">
        <v>635</v>
      </c>
      <c r="B271" t="s">
        <v>16</v>
      </c>
    </row>
    <row r="272" spans="1:2" x14ac:dyDescent="0.25">
      <c r="A272" t="s">
        <v>628</v>
      </c>
      <c r="B272" t="s">
        <v>16</v>
      </c>
    </row>
    <row r="273" spans="1:2" x14ac:dyDescent="0.25">
      <c r="A273" t="s">
        <v>622</v>
      </c>
      <c r="B273" t="s">
        <v>1605</v>
      </c>
    </row>
    <row r="274" spans="1:2" x14ac:dyDescent="0.25">
      <c r="A274" t="s">
        <v>627</v>
      </c>
      <c r="B274" t="s">
        <v>2383</v>
      </c>
    </row>
    <row r="275" spans="1:2" x14ac:dyDescent="0.25">
      <c r="A275" t="s">
        <v>606</v>
      </c>
      <c r="B275" t="s">
        <v>2715</v>
      </c>
    </row>
    <row r="276" spans="1:2" x14ac:dyDescent="0.25">
      <c r="A276" t="s">
        <v>1045</v>
      </c>
      <c r="B276" t="s">
        <v>2060</v>
      </c>
    </row>
    <row r="277" spans="1:2" x14ac:dyDescent="0.25">
      <c r="A277" t="s">
        <v>1012</v>
      </c>
      <c r="B277" t="s">
        <v>1617</v>
      </c>
    </row>
    <row r="278" spans="1:2" x14ac:dyDescent="0.25">
      <c r="A278" t="s">
        <v>1045</v>
      </c>
      <c r="B278" t="s">
        <v>1071</v>
      </c>
    </row>
    <row r="279" spans="1:2" x14ac:dyDescent="0.25">
      <c r="A279" t="s">
        <v>611</v>
      </c>
      <c r="B279" t="s">
        <v>1679</v>
      </c>
    </row>
    <row r="280" spans="1:2" x14ac:dyDescent="0.25">
      <c r="A280" t="s">
        <v>612</v>
      </c>
      <c r="B280" t="s">
        <v>1679</v>
      </c>
    </row>
    <row r="281" spans="1:2" x14ac:dyDescent="0.25">
      <c r="A281" t="s">
        <v>603</v>
      </c>
      <c r="B281" t="s">
        <v>1225</v>
      </c>
    </row>
    <row r="282" spans="1:2" x14ac:dyDescent="0.25">
      <c r="A282" t="s">
        <v>628</v>
      </c>
      <c r="B282" t="s">
        <v>1225</v>
      </c>
    </row>
    <row r="283" spans="1:2" x14ac:dyDescent="0.25">
      <c r="A283" t="s">
        <v>617</v>
      </c>
      <c r="B283" t="s">
        <v>2005</v>
      </c>
    </row>
    <row r="284" spans="1:2" x14ac:dyDescent="0.25">
      <c r="A284" t="s">
        <v>607</v>
      </c>
      <c r="B284" t="s">
        <v>950</v>
      </c>
    </row>
    <row r="285" spans="1:2" x14ac:dyDescent="0.25">
      <c r="A285" t="s">
        <v>1045</v>
      </c>
      <c r="B285" t="s">
        <v>950</v>
      </c>
    </row>
    <row r="286" spans="1:2" x14ac:dyDescent="0.25">
      <c r="A286" t="s">
        <v>609</v>
      </c>
      <c r="B286" t="s">
        <v>1535</v>
      </c>
    </row>
    <row r="287" spans="1:2" x14ac:dyDescent="0.25">
      <c r="A287" t="s">
        <v>619</v>
      </c>
      <c r="B287" t="s">
        <v>1535</v>
      </c>
    </row>
    <row r="288" spans="1:2" x14ac:dyDescent="0.25">
      <c r="A288" t="s">
        <v>628</v>
      </c>
      <c r="B288" t="s">
        <v>1535</v>
      </c>
    </row>
    <row r="289" spans="1:2" x14ac:dyDescent="0.25">
      <c r="A289" t="s">
        <v>628</v>
      </c>
      <c r="B289" t="s">
        <v>2411</v>
      </c>
    </row>
    <row r="290" spans="1:2" x14ac:dyDescent="0.25">
      <c r="A290" t="s">
        <v>628</v>
      </c>
      <c r="B290" t="s">
        <v>2432</v>
      </c>
    </row>
    <row r="291" spans="1:2" x14ac:dyDescent="0.25">
      <c r="A291" t="s">
        <v>632</v>
      </c>
      <c r="B291" t="s">
        <v>2541</v>
      </c>
    </row>
    <row r="292" spans="1:2" x14ac:dyDescent="0.25">
      <c r="A292" t="s">
        <v>610</v>
      </c>
      <c r="B292" t="s">
        <v>1664</v>
      </c>
    </row>
    <row r="293" spans="1:2" x14ac:dyDescent="0.25">
      <c r="A293" t="s">
        <v>1012</v>
      </c>
      <c r="B293" t="s">
        <v>1606</v>
      </c>
    </row>
    <row r="294" spans="1:2" x14ac:dyDescent="0.25">
      <c r="A294" t="s">
        <v>628</v>
      </c>
      <c r="B294" t="s">
        <v>1606</v>
      </c>
    </row>
    <row r="295" spans="1:2" x14ac:dyDescent="0.25">
      <c r="A295" t="s">
        <v>632</v>
      </c>
      <c r="B295" t="s">
        <v>1606</v>
      </c>
    </row>
    <row r="296" spans="1:2" x14ac:dyDescent="0.25">
      <c r="A296" t="s">
        <v>620</v>
      </c>
      <c r="B296" t="s">
        <v>2175</v>
      </c>
    </row>
    <row r="297" spans="1:2" x14ac:dyDescent="0.25">
      <c r="A297" t="s">
        <v>635</v>
      </c>
      <c r="B297" t="s">
        <v>1991</v>
      </c>
    </row>
    <row r="298" spans="1:2" x14ac:dyDescent="0.25">
      <c r="A298" t="s">
        <v>1045</v>
      </c>
      <c r="B298" t="s">
        <v>2069</v>
      </c>
    </row>
    <row r="299" spans="1:2" x14ac:dyDescent="0.25">
      <c r="A299" t="s">
        <v>603</v>
      </c>
      <c r="B299" t="s">
        <v>4</v>
      </c>
    </row>
    <row r="300" spans="1:2" x14ac:dyDescent="0.25">
      <c r="A300" t="s">
        <v>606</v>
      </c>
      <c r="B300" t="s">
        <v>4</v>
      </c>
    </row>
    <row r="301" spans="1:2" x14ac:dyDescent="0.25">
      <c r="A301" t="s">
        <v>607</v>
      </c>
      <c r="B301" t="s">
        <v>4</v>
      </c>
    </row>
    <row r="302" spans="1:2" x14ac:dyDescent="0.25">
      <c r="A302" t="s">
        <v>831</v>
      </c>
      <c r="B302" t="s">
        <v>4</v>
      </c>
    </row>
    <row r="303" spans="1:2" x14ac:dyDescent="0.25">
      <c r="A303" t="s">
        <v>618</v>
      </c>
      <c r="B303" t="s">
        <v>4</v>
      </c>
    </row>
    <row r="304" spans="1:2" x14ac:dyDescent="0.25">
      <c r="A304" t="s">
        <v>619</v>
      </c>
      <c r="B304" t="s">
        <v>4</v>
      </c>
    </row>
    <row r="305" spans="1:2" x14ac:dyDescent="0.25">
      <c r="A305" t="s">
        <v>620</v>
      </c>
      <c r="B305" t="s">
        <v>4</v>
      </c>
    </row>
    <row r="306" spans="1:2" x14ac:dyDescent="0.25">
      <c r="A306" t="s">
        <v>628</v>
      </c>
      <c r="B306" t="s">
        <v>4</v>
      </c>
    </row>
    <row r="307" spans="1:2" x14ac:dyDescent="0.25">
      <c r="A307" t="s">
        <v>630</v>
      </c>
      <c r="B307" t="s">
        <v>4</v>
      </c>
    </row>
    <row r="308" spans="1:2" x14ac:dyDescent="0.25">
      <c r="A308" t="s">
        <v>632</v>
      </c>
      <c r="B308" t="s">
        <v>4</v>
      </c>
    </row>
    <row r="309" spans="1:2" x14ac:dyDescent="0.25">
      <c r="A309" t="s">
        <v>1045</v>
      </c>
      <c r="B309" t="s">
        <v>2067</v>
      </c>
    </row>
    <row r="310" spans="1:2" x14ac:dyDescent="0.25">
      <c r="A310" t="s">
        <v>633</v>
      </c>
      <c r="B310" t="s">
        <v>2560</v>
      </c>
    </row>
    <row r="311" spans="1:2" x14ac:dyDescent="0.25">
      <c r="A311" t="s">
        <v>630</v>
      </c>
      <c r="B311" t="s">
        <v>2478</v>
      </c>
    </row>
    <row r="312" spans="1:2" x14ac:dyDescent="0.25">
      <c r="A312" t="s">
        <v>609</v>
      </c>
      <c r="B312" t="s">
        <v>1568</v>
      </c>
    </row>
    <row r="313" spans="1:2" x14ac:dyDescent="0.25">
      <c r="A313" t="s">
        <v>953</v>
      </c>
      <c r="B313" t="s">
        <v>992</v>
      </c>
    </row>
    <row r="314" spans="1:2" x14ac:dyDescent="0.25">
      <c r="A314" t="s">
        <v>1045</v>
      </c>
      <c r="B314" t="s">
        <v>907</v>
      </c>
    </row>
    <row r="315" spans="1:2" x14ac:dyDescent="0.25">
      <c r="A315" t="s">
        <v>605</v>
      </c>
      <c r="B315" t="s">
        <v>47</v>
      </c>
    </row>
    <row r="316" spans="1:2" x14ac:dyDescent="0.25">
      <c r="A316" t="s">
        <v>633</v>
      </c>
      <c r="B316" t="s">
        <v>47</v>
      </c>
    </row>
    <row r="317" spans="1:2" x14ac:dyDescent="0.25">
      <c r="A317" t="s">
        <v>616</v>
      </c>
      <c r="B317" t="s">
        <v>1909</v>
      </c>
    </row>
    <row r="318" spans="1:2" x14ac:dyDescent="0.25">
      <c r="A318" t="s">
        <v>606</v>
      </c>
      <c r="B318" t="s">
        <v>957</v>
      </c>
    </row>
    <row r="319" spans="1:2" x14ac:dyDescent="0.25">
      <c r="A319" t="s">
        <v>616</v>
      </c>
      <c r="B319" t="s">
        <v>957</v>
      </c>
    </row>
    <row r="320" spans="1:2" x14ac:dyDescent="0.25">
      <c r="A320" t="s">
        <v>623</v>
      </c>
      <c r="B320" t="s">
        <v>957</v>
      </c>
    </row>
    <row r="321" spans="1:2" x14ac:dyDescent="0.25">
      <c r="A321" t="s">
        <v>624</v>
      </c>
      <c r="B321" t="s">
        <v>957</v>
      </c>
    </row>
    <row r="322" spans="1:2" x14ac:dyDescent="0.25">
      <c r="A322" t="s">
        <v>627</v>
      </c>
      <c r="B322" t="s">
        <v>957</v>
      </c>
    </row>
    <row r="323" spans="1:2" x14ac:dyDescent="0.25">
      <c r="A323" t="s">
        <v>631</v>
      </c>
      <c r="B323" t="s">
        <v>957</v>
      </c>
    </row>
    <row r="324" spans="1:2" x14ac:dyDescent="0.25">
      <c r="A324" t="s">
        <v>1012</v>
      </c>
      <c r="B324" t="s">
        <v>2831</v>
      </c>
    </row>
    <row r="325" spans="1:2" x14ac:dyDescent="0.25">
      <c r="A325" t="s">
        <v>1012</v>
      </c>
      <c r="B325" t="s">
        <v>1022</v>
      </c>
    </row>
    <row r="326" spans="1:2" x14ac:dyDescent="0.25">
      <c r="A326" t="s">
        <v>615</v>
      </c>
      <c r="B326" t="s">
        <v>1877</v>
      </c>
    </row>
    <row r="327" spans="1:2" x14ac:dyDescent="0.25">
      <c r="A327" t="s">
        <v>831</v>
      </c>
      <c r="B327" t="s">
        <v>1731</v>
      </c>
    </row>
    <row r="328" spans="1:2" x14ac:dyDescent="0.25">
      <c r="A328" t="s">
        <v>2808</v>
      </c>
      <c r="B328" t="s">
        <v>2317</v>
      </c>
    </row>
    <row r="329" spans="1:2" x14ac:dyDescent="0.25">
      <c r="A329" t="s">
        <v>602</v>
      </c>
      <c r="B329" t="s">
        <v>1167</v>
      </c>
    </row>
    <row r="330" spans="1:2" x14ac:dyDescent="0.25">
      <c r="A330" t="s">
        <v>622</v>
      </c>
      <c r="B330" t="s">
        <v>137</v>
      </c>
    </row>
    <row r="331" spans="1:2" x14ac:dyDescent="0.25">
      <c r="A331" t="s">
        <v>603</v>
      </c>
      <c r="B331" t="s">
        <v>1245</v>
      </c>
    </row>
    <row r="332" spans="1:2" x14ac:dyDescent="0.25">
      <c r="A332" t="s">
        <v>614</v>
      </c>
      <c r="B332" t="s">
        <v>1828</v>
      </c>
    </row>
    <row r="333" spans="1:2" x14ac:dyDescent="0.25">
      <c r="A333" t="s">
        <v>633</v>
      </c>
      <c r="B333" t="s">
        <v>2580</v>
      </c>
    </row>
    <row r="334" spans="1:2" x14ac:dyDescent="0.25">
      <c r="A334" t="s">
        <v>622</v>
      </c>
      <c r="B334" t="s">
        <v>2213</v>
      </c>
    </row>
    <row r="335" spans="1:2" x14ac:dyDescent="0.25">
      <c r="A335" t="s">
        <v>619</v>
      </c>
      <c r="B335" t="s">
        <v>2117</v>
      </c>
    </row>
    <row r="336" spans="1:2" x14ac:dyDescent="0.25">
      <c r="A336" t="s">
        <v>619</v>
      </c>
      <c r="B336" t="s">
        <v>2104</v>
      </c>
    </row>
    <row r="337" spans="1:2" x14ac:dyDescent="0.25">
      <c r="A337" t="s">
        <v>619</v>
      </c>
      <c r="B337" t="s">
        <v>2116</v>
      </c>
    </row>
    <row r="338" spans="1:2" x14ac:dyDescent="0.25">
      <c r="A338" t="s">
        <v>608</v>
      </c>
      <c r="B338" t="s">
        <v>1471</v>
      </c>
    </row>
    <row r="339" spans="1:2" x14ac:dyDescent="0.25">
      <c r="A339" t="s">
        <v>609</v>
      </c>
      <c r="B339" t="s">
        <v>1471</v>
      </c>
    </row>
    <row r="340" spans="1:2" x14ac:dyDescent="0.25">
      <c r="A340" t="s">
        <v>624</v>
      </c>
      <c r="B340" t="s">
        <v>1471</v>
      </c>
    </row>
    <row r="341" spans="1:2" x14ac:dyDescent="0.25">
      <c r="A341" t="s">
        <v>632</v>
      </c>
      <c r="B341" t="s">
        <v>1471</v>
      </c>
    </row>
    <row r="342" spans="1:2" x14ac:dyDescent="0.25">
      <c r="A342" t="s">
        <v>627</v>
      </c>
      <c r="B342" t="s">
        <v>2364</v>
      </c>
    </row>
    <row r="343" spans="1:2" x14ac:dyDescent="0.25">
      <c r="A343" t="s">
        <v>606</v>
      </c>
      <c r="B343" t="s">
        <v>1360</v>
      </c>
    </row>
    <row r="344" spans="1:2" x14ac:dyDescent="0.25">
      <c r="A344" t="s">
        <v>915</v>
      </c>
      <c r="B344" t="s">
        <v>2148</v>
      </c>
    </row>
    <row r="345" spans="1:2" x14ac:dyDescent="0.25">
      <c r="A345" t="s">
        <v>618</v>
      </c>
      <c r="B345" t="s">
        <v>2032</v>
      </c>
    </row>
    <row r="346" spans="1:2" x14ac:dyDescent="0.25">
      <c r="A346" t="s">
        <v>623</v>
      </c>
      <c r="B346" t="s">
        <v>2286</v>
      </c>
    </row>
    <row r="347" spans="1:2" x14ac:dyDescent="0.25">
      <c r="A347" t="s">
        <v>609</v>
      </c>
      <c r="B347" t="s">
        <v>1570</v>
      </c>
    </row>
    <row r="348" spans="1:2" x14ac:dyDescent="0.25">
      <c r="A348" t="s">
        <v>602</v>
      </c>
      <c r="B348" t="s">
        <v>1159</v>
      </c>
    </row>
    <row r="349" spans="1:2" x14ac:dyDescent="0.25">
      <c r="A349" t="s">
        <v>604</v>
      </c>
      <c r="B349" t="s">
        <v>40</v>
      </c>
    </row>
    <row r="350" spans="1:2" x14ac:dyDescent="0.25">
      <c r="A350" t="s">
        <v>618</v>
      </c>
      <c r="B350" t="s">
        <v>40</v>
      </c>
    </row>
    <row r="351" spans="1:2" x14ac:dyDescent="0.25">
      <c r="A351" t="s">
        <v>614</v>
      </c>
      <c r="B351" t="s">
        <v>1833</v>
      </c>
    </row>
    <row r="352" spans="1:2" x14ac:dyDescent="0.25">
      <c r="A352" t="s">
        <v>2808</v>
      </c>
      <c r="B352" t="s">
        <v>2327</v>
      </c>
    </row>
    <row r="353" spans="1:2" x14ac:dyDescent="0.25">
      <c r="A353" t="s">
        <v>602</v>
      </c>
      <c r="B353" t="s">
        <v>1162</v>
      </c>
    </row>
    <row r="354" spans="1:2" x14ac:dyDescent="0.25">
      <c r="A354" t="s">
        <v>602</v>
      </c>
      <c r="B354" t="s">
        <v>1154</v>
      </c>
    </row>
    <row r="355" spans="1:2" x14ac:dyDescent="0.25">
      <c r="A355" t="s">
        <v>606</v>
      </c>
      <c r="B355" t="s">
        <v>1154</v>
      </c>
    </row>
    <row r="356" spans="1:2" x14ac:dyDescent="0.25">
      <c r="A356" t="s">
        <v>615</v>
      </c>
      <c r="B356" t="s">
        <v>1154</v>
      </c>
    </row>
    <row r="357" spans="1:2" x14ac:dyDescent="0.25">
      <c r="A357" t="s">
        <v>617</v>
      </c>
      <c r="B357" t="s">
        <v>1154</v>
      </c>
    </row>
    <row r="358" spans="1:2" x14ac:dyDescent="0.25">
      <c r="A358" t="s">
        <v>624</v>
      </c>
      <c r="B358" t="s">
        <v>1154</v>
      </c>
    </row>
    <row r="359" spans="1:2" x14ac:dyDescent="0.25">
      <c r="A359" t="s">
        <v>627</v>
      </c>
      <c r="B359" t="s">
        <v>1154</v>
      </c>
    </row>
    <row r="360" spans="1:2" x14ac:dyDescent="0.25">
      <c r="A360" t="s">
        <v>622</v>
      </c>
      <c r="B360" t="s">
        <v>2215</v>
      </c>
    </row>
    <row r="361" spans="1:2" x14ac:dyDescent="0.25">
      <c r="A361" t="s">
        <v>603</v>
      </c>
      <c r="B361" t="s">
        <v>1210</v>
      </c>
    </row>
    <row r="362" spans="1:2" x14ac:dyDescent="0.25">
      <c r="A362" t="s">
        <v>604</v>
      </c>
      <c r="B362" t="s">
        <v>1210</v>
      </c>
    </row>
    <row r="363" spans="1:2" x14ac:dyDescent="0.25">
      <c r="A363" t="s">
        <v>607</v>
      </c>
      <c r="B363" t="s">
        <v>1426</v>
      </c>
    </row>
    <row r="364" spans="1:2" x14ac:dyDescent="0.25">
      <c r="A364" t="s">
        <v>1045</v>
      </c>
      <c r="B364" t="s">
        <v>2083</v>
      </c>
    </row>
    <row r="365" spans="1:2" x14ac:dyDescent="0.25">
      <c r="A365" t="s">
        <v>629</v>
      </c>
      <c r="B365" t="s">
        <v>2436</v>
      </c>
    </row>
    <row r="366" spans="1:2" x14ac:dyDescent="0.25">
      <c r="A366" t="s">
        <v>635</v>
      </c>
      <c r="B366" t="s">
        <v>1971</v>
      </c>
    </row>
    <row r="367" spans="1:2" x14ac:dyDescent="0.25">
      <c r="A367" t="s">
        <v>623</v>
      </c>
      <c r="B367" t="s">
        <v>1971</v>
      </c>
    </row>
    <row r="368" spans="1:2" x14ac:dyDescent="0.25">
      <c r="A368" t="s">
        <v>605</v>
      </c>
      <c r="B368" t="s">
        <v>1014</v>
      </c>
    </row>
    <row r="369" spans="1:2" x14ac:dyDescent="0.25">
      <c r="A369" t="s">
        <v>953</v>
      </c>
      <c r="B369" t="s">
        <v>1014</v>
      </c>
    </row>
    <row r="370" spans="1:2" x14ac:dyDescent="0.25">
      <c r="A370" t="s">
        <v>618</v>
      </c>
      <c r="B370" t="s">
        <v>1014</v>
      </c>
    </row>
    <row r="371" spans="1:2" x14ac:dyDescent="0.25">
      <c r="A371" t="s">
        <v>2808</v>
      </c>
      <c r="B371" t="s">
        <v>1014</v>
      </c>
    </row>
    <row r="372" spans="1:2" x14ac:dyDescent="0.25">
      <c r="A372" t="s">
        <v>635</v>
      </c>
      <c r="B372" t="s">
        <v>1954</v>
      </c>
    </row>
    <row r="373" spans="1:2" x14ac:dyDescent="0.25">
      <c r="A373" t="s">
        <v>604</v>
      </c>
      <c r="B373" t="s">
        <v>2736</v>
      </c>
    </row>
    <row r="374" spans="1:2" x14ac:dyDescent="0.25">
      <c r="A374" t="s">
        <v>619</v>
      </c>
      <c r="B374" t="s">
        <v>2106</v>
      </c>
    </row>
    <row r="375" spans="1:2" x14ac:dyDescent="0.25">
      <c r="A375" t="s">
        <v>619</v>
      </c>
      <c r="B375" t="s">
        <v>2112</v>
      </c>
    </row>
    <row r="376" spans="1:2" x14ac:dyDescent="0.25">
      <c r="A376" t="s">
        <v>619</v>
      </c>
      <c r="B376" t="s">
        <v>2111</v>
      </c>
    </row>
    <row r="377" spans="1:2" x14ac:dyDescent="0.25">
      <c r="A377" t="s">
        <v>2616</v>
      </c>
      <c r="B377" t="s">
        <v>2667</v>
      </c>
    </row>
    <row r="378" spans="1:2" x14ac:dyDescent="0.25">
      <c r="A378" t="s">
        <v>619</v>
      </c>
      <c r="B378" t="s">
        <v>2095</v>
      </c>
    </row>
    <row r="379" spans="1:2" x14ac:dyDescent="0.25">
      <c r="A379" t="s">
        <v>622</v>
      </c>
      <c r="B379" t="s">
        <v>159</v>
      </c>
    </row>
    <row r="380" spans="1:2" x14ac:dyDescent="0.25">
      <c r="A380" t="s">
        <v>635</v>
      </c>
      <c r="B380" t="s">
        <v>1984</v>
      </c>
    </row>
    <row r="381" spans="1:2" x14ac:dyDescent="0.25">
      <c r="A381" t="s">
        <v>2616</v>
      </c>
      <c r="B381" t="s">
        <v>2665</v>
      </c>
    </row>
    <row r="382" spans="1:2" x14ac:dyDescent="0.25">
      <c r="A382" t="s">
        <v>623</v>
      </c>
      <c r="B382" t="s">
        <v>2284</v>
      </c>
    </row>
    <row r="383" spans="1:2" x14ac:dyDescent="0.25">
      <c r="A383" t="s">
        <v>607</v>
      </c>
      <c r="B383" t="s">
        <v>1449</v>
      </c>
    </row>
    <row r="384" spans="1:2" x14ac:dyDescent="0.25">
      <c r="A384" t="s">
        <v>603</v>
      </c>
      <c r="B384" t="s">
        <v>1207</v>
      </c>
    </row>
    <row r="385" spans="1:2" x14ac:dyDescent="0.25">
      <c r="A385" t="s">
        <v>605</v>
      </c>
      <c r="B385" t="s">
        <v>1207</v>
      </c>
    </row>
    <row r="386" spans="1:2" x14ac:dyDescent="0.25">
      <c r="A386" t="s">
        <v>618</v>
      </c>
      <c r="B386" t="s">
        <v>1207</v>
      </c>
    </row>
    <row r="387" spans="1:2" x14ac:dyDescent="0.25">
      <c r="A387" t="s">
        <v>624</v>
      </c>
      <c r="B387" t="s">
        <v>2807</v>
      </c>
    </row>
    <row r="388" spans="1:2" x14ac:dyDescent="0.25">
      <c r="A388" t="s">
        <v>630</v>
      </c>
      <c r="B388" t="s">
        <v>2450</v>
      </c>
    </row>
    <row r="389" spans="1:2" x14ac:dyDescent="0.25">
      <c r="A389" t="s">
        <v>622</v>
      </c>
      <c r="B389" t="s">
        <v>2216</v>
      </c>
    </row>
    <row r="390" spans="1:2" x14ac:dyDescent="0.25">
      <c r="A390" t="s">
        <v>633</v>
      </c>
      <c r="B390" t="s">
        <v>2557</v>
      </c>
    </row>
    <row r="391" spans="1:2" x14ac:dyDescent="0.25">
      <c r="A391" t="s">
        <v>1012</v>
      </c>
      <c r="B391" t="s">
        <v>1029</v>
      </c>
    </row>
    <row r="392" spans="1:2" x14ac:dyDescent="0.25">
      <c r="A392" t="s">
        <v>618</v>
      </c>
      <c r="B392" t="s">
        <v>1029</v>
      </c>
    </row>
    <row r="393" spans="1:2" x14ac:dyDescent="0.25">
      <c r="A393" t="s">
        <v>1045</v>
      </c>
      <c r="B393" t="s">
        <v>1099</v>
      </c>
    </row>
    <row r="394" spans="1:2" x14ac:dyDescent="0.25">
      <c r="A394" t="s">
        <v>618</v>
      </c>
      <c r="B394" t="s">
        <v>2059</v>
      </c>
    </row>
    <row r="395" spans="1:2" x14ac:dyDescent="0.25">
      <c r="A395" t="s">
        <v>603</v>
      </c>
      <c r="B395" t="s">
        <v>102</v>
      </c>
    </row>
    <row r="396" spans="1:2" x14ac:dyDescent="0.25">
      <c r="A396" t="s">
        <v>606</v>
      </c>
      <c r="B396" t="s">
        <v>102</v>
      </c>
    </row>
    <row r="397" spans="1:2" x14ac:dyDescent="0.25">
      <c r="A397" t="s">
        <v>607</v>
      </c>
      <c r="B397" t="s">
        <v>102</v>
      </c>
    </row>
    <row r="398" spans="1:2" x14ac:dyDescent="0.25">
      <c r="A398" t="s">
        <v>618</v>
      </c>
      <c r="B398" t="s">
        <v>102</v>
      </c>
    </row>
    <row r="399" spans="1:2" x14ac:dyDescent="0.25">
      <c r="A399" t="s">
        <v>622</v>
      </c>
      <c r="B399" t="s">
        <v>2204</v>
      </c>
    </row>
    <row r="400" spans="1:2" x14ac:dyDescent="0.25">
      <c r="A400" t="s">
        <v>602</v>
      </c>
      <c r="B400" t="s">
        <v>910</v>
      </c>
    </row>
    <row r="401" spans="1:2" x14ac:dyDescent="0.25">
      <c r="A401" t="s">
        <v>611</v>
      </c>
      <c r="B401" t="s">
        <v>910</v>
      </c>
    </row>
    <row r="402" spans="1:2" x14ac:dyDescent="0.25">
      <c r="A402" t="s">
        <v>612</v>
      </c>
      <c r="B402" t="s">
        <v>910</v>
      </c>
    </row>
    <row r="403" spans="1:2" x14ac:dyDescent="0.25">
      <c r="A403" t="s">
        <v>613</v>
      </c>
      <c r="B403" t="s">
        <v>910</v>
      </c>
    </row>
    <row r="404" spans="1:2" x14ac:dyDescent="0.25">
      <c r="A404" t="s">
        <v>631</v>
      </c>
      <c r="B404" t="s">
        <v>2499</v>
      </c>
    </row>
    <row r="405" spans="1:2" x14ac:dyDescent="0.25">
      <c r="A405" t="s">
        <v>616</v>
      </c>
      <c r="B405" t="s">
        <v>1041</v>
      </c>
    </row>
    <row r="406" spans="1:2" x14ac:dyDescent="0.25">
      <c r="A406" t="s">
        <v>2808</v>
      </c>
      <c r="B406" t="s">
        <v>2309</v>
      </c>
    </row>
    <row r="407" spans="1:2" x14ac:dyDescent="0.25">
      <c r="A407" t="s">
        <v>605</v>
      </c>
      <c r="B407" t="s">
        <v>1353</v>
      </c>
    </row>
    <row r="408" spans="1:2" x14ac:dyDescent="0.25">
      <c r="A408" t="s">
        <v>623</v>
      </c>
      <c r="B408" t="s">
        <v>348</v>
      </c>
    </row>
    <row r="409" spans="1:2" x14ac:dyDescent="0.25">
      <c r="A409" t="s">
        <v>622</v>
      </c>
      <c r="B409" t="s">
        <v>96</v>
      </c>
    </row>
    <row r="410" spans="1:2" x14ac:dyDescent="0.25">
      <c r="A410" t="s">
        <v>610</v>
      </c>
      <c r="B410" t="s">
        <v>1667</v>
      </c>
    </row>
    <row r="411" spans="1:2" x14ac:dyDescent="0.25">
      <c r="A411" t="s">
        <v>619</v>
      </c>
      <c r="B411" t="s">
        <v>2098</v>
      </c>
    </row>
    <row r="412" spans="1:2" x14ac:dyDescent="0.25">
      <c r="A412" t="s">
        <v>630</v>
      </c>
      <c r="B412" t="s">
        <v>2098</v>
      </c>
    </row>
    <row r="413" spans="1:2" x14ac:dyDescent="0.25">
      <c r="A413" t="s">
        <v>635</v>
      </c>
      <c r="B413" t="s">
        <v>1960</v>
      </c>
    </row>
    <row r="414" spans="1:2" x14ac:dyDescent="0.25">
      <c r="A414" t="s">
        <v>633</v>
      </c>
      <c r="B414" t="s">
        <v>2583</v>
      </c>
    </row>
    <row r="415" spans="1:2" x14ac:dyDescent="0.25">
      <c r="A415" t="s">
        <v>601</v>
      </c>
      <c r="B415" t="s">
        <v>1137</v>
      </c>
    </row>
    <row r="416" spans="1:2" x14ac:dyDescent="0.25">
      <c r="A416" t="s">
        <v>605</v>
      </c>
      <c r="B416" t="s">
        <v>1137</v>
      </c>
    </row>
    <row r="417" spans="1:2" x14ac:dyDescent="0.25">
      <c r="A417" t="s">
        <v>611</v>
      </c>
      <c r="B417" t="s">
        <v>1137</v>
      </c>
    </row>
    <row r="418" spans="1:2" x14ac:dyDescent="0.25">
      <c r="A418" t="s">
        <v>612</v>
      </c>
      <c r="B418" t="s">
        <v>1137</v>
      </c>
    </row>
    <row r="419" spans="1:2" x14ac:dyDescent="0.25">
      <c r="A419" t="s">
        <v>635</v>
      </c>
      <c r="B419" t="s">
        <v>1137</v>
      </c>
    </row>
    <row r="420" spans="1:2" x14ac:dyDescent="0.25">
      <c r="A420" t="s">
        <v>622</v>
      </c>
      <c r="B420" t="s">
        <v>1137</v>
      </c>
    </row>
    <row r="421" spans="1:2" x14ac:dyDescent="0.25">
      <c r="A421" t="s">
        <v>628</v>
      </c>
      <c r="B421" t="s">
        <v>1137</v>
      </c>
    </row>
    <row r="422" spans="1:2" x14ac:dyDescent="0.25">
      <c r="A422" t="s">
        <v>633</v>
      </c>
      <c r="B422" t="s">
        <v>1137</v>
      </c>
    </row>
    <row r="423" spans="1:2" x14ac:dyDescent="0.25">
      <c r="A423" t="s">
        <v>617</v>
      </c>
      <c r="B423" t="s">
        <v>2002</v>
      </c>
    </row>
    <row r="424" spans="1:2" x14ac:dyDescent="0.25">
      <c r="A424" t="s">
        <v>2616</v>
      </c>
      <c r="B424" t="s">
        <v>2654</v>
      </c>
    </row>
    <row r="425" spans="1:2" x14ac:dyDescent="0.25">
      <c r="A425" t="s">
        <v>618</v>
      </c>
      <c r="B425" t="s">
        <v>2042</v>
      </c>
    </row>
    <row r="426" spans="1:2" x14ac:dyDescent="0.25">
      <c r="A426" t="s">
        <v>606</v>
      </c>
      <c r="B426" t="s">
        <v>1374</v>
      </c>
    </row>
    <row r="427" spans="1:2" x14ac:dyDescent="0.25">
      <c r="A427" t="s">
        <v>615</v>
      </c>
      <c r="B427" t="s">
        <v>1902</v>
      </c>
    </row>
    <row r="428" spans="1:2" x14ac:dyDescent="0.25">
      <c r="A428" t="s">
        <v>1012</v>
      </c>
      <c r="B428" t="s">
        <v>889</v>
      </c>
    </row>
    <row r="429" spans="1:2" x14ac:dyDescent="0.25">
      <c r="A429" t="s">
        <v>624</v>
      </c>
      <c r="B429" t="s">
        <v>889</v>
      </c>
    </row>
    <row r="430" spans="1:2" x14ac:dyDescent="0.25">
      <c r="A430" t="s">
        <v>627</v>
      </c>
      <c r="B430" t="s">
        <v>692</v>
      </c>
    </row>
    <row r="431" spans="1:2" x14ac:dyDescent="0.25">
      <c r="A431" t="s">
        <v>2616</v>
      </c>
      <c r="B431" t="s">
        <v>2686</v>
      </c>
    </row>
    <row r="432" spans="1:2" x14ac:dyDescent="0.25">
      <c r="A432" t="s">
        <v>831</v>
      </c>
      <c r="B432" t="s">
        <v>1748</v>
      </c>
    </row>
    <row r="433" spans="1:2" x14ac:dyDescent="0.25">
      <c r="A433" t="s">
        <v>628</v>
      </c>
      <c r="B433" t="s">
        <v>2421</v>
      </c>
    </row>
    <row r="434" spans="1:2" x14ac:dyDescent="0.25">
      <c r="A434" t="s">
        <v>605</v>
      </c>
      <c r="B434" t="s">
        <v>1327</v>
      </c>
    </row>
    <row r="435" spans="1:2" x14ac:dyDescent="0.25">
      <c r="A435" t="s">
        <v>953</v>
      </c>
      <c r="B435" t="s">
        <v>1327</v>
      </c>
    </row>
    <row r="436" spans="1:2" x14ac:dyDescent="0.25">
      <c r="A436" t="s">
        <v>635</v>
      </c>
      <c r="B436" t="s">
        <v>1327</v>
      </c>
    </row>
    <row r="437" spans="1:2" x14ac:dyDescent="0.25">
      <c r="A437" t="s">
        <v>635</v>
      </c>
      <c r="B437" t="s">
        <v>1970</v>
      </c>
    </row>
    <row r="438" spans="1:2" x14ac:dyDescent="0.25">
      <c r="A438" t="s">
        <v>608</v>
      </c>
      <c r="B438" t="s">
        <v>928</v>
      </c>
    </row>
    <row r="439" spans="1:2" x14ac:dyDescent="0.25">
      <c r="A439" t="s">
        <v>602</v>
      </c>
      <c r="B439" t="s">
        <v>1180</v>
      </c>
    </row>
    <row r="440" spans="1:2" x14ac:dyDescent="0.25">
      <c r="A440" t="s">
        <v>624</v>
      </c>
      <c r="B440" t="s">
        <v>2331</v>
      </c>
    </row>
    <row r="441" spans="1:2" x14ac:dyDescent="0.25">
      <c r="A441" t="s">
        <v>629</v>
      </c>
      <c r="B441" t="s">
        <v>2435</v>
      </c>
    </row>
    <row r="442" spans="1:2" x14ac:dyDescent="0.25">
      <c r="A442" t="s">
        <v>607</v>
      </c>
      <c r="B442" t="s">
        <v>1462</v>
      </c>
    </row>
    <row r="443" spans="1:2" x14ac:dyDescent="0.25">
      <c r="A443" t="s">
        <v>617</v>
      </c>
      <c r="B443" t="s">
        <v>2016</v>
      </c>
    </row>
    <row r="444" spans="1:2" x14ac:dyDescent="0.25">
      <c r="A444" t="s">
        <v>953</v>
      </c>
      <c r="B444" t="s">
        <v>1822</v>
      </c>
    </row>
    <row r="445" spans="1:2" x14ac:dyDescent="0.25">
      <c r="A445" t="s">
        <v>614</v>
      </c>
      <c r="B445" t="s">
        <v>1822</v>
      </c>
    </row>
    <row r="446" spans="1:2" x14ac:dyDescent="0.25">
      <c r="A446" t="s">
        <v>616</v>
      </c>
      <c r="B446" t="s">
        <v>1822</v>
      </c>
    </row>
    <row r="447" spans="1:2" x14ac:dyDescent="0.25">
      <c r="A447" t="s">
        <v>624</v>
      </c>
      <c r="B447" t="s">
        <v>1822</v>
      </c>
    </row>
    <row r="448" spans="1:2" x14ac:dyDescent="0.25">
      <c r="A448" t="s">
        <v>633</v>
      </c>
      <c r="B448" t="s">
        <v>1822</v>
      </c>
    </row>
    <row r="449" spans="1:2" x14ac:dyDescent="0.25">
      <c r="A449" t="s">
        <v>615</v>
      </c>
      <c r="B449" t="s">
        <v>1904</v>
      </c>
    </row>
    <row r="450" spans="1:2" x14ac:dyDescent="0.25">
      <c r="A450" t="s">
        <v>617</v>
      </c>
      <c r="B450" t="s">
        <v>1904</v>
      </c>
    </row>
    <row r="451" spans="1:2" x14ac:dyDescent="0.25">
      <c r="A451" t="s">
        <v>624</v>
      </c>
      <c r="B451" t="s">
        <v>1904</v>
      </c>
    </row>
    <row r="452" spans="1:2" x14ac:dyDescent="0.25">
      <c r="A452" t="s">
        <v>611</v>
      </c>
      <c r="B452" t="s">
        <v>1696</v>
      </c>
    </row>
    <row r="453" spans="1:2" x14ac:dyDescent="0.25">
      <c r="A453" t="s">
        <v>612</v>
      </c>
      <c r="B453" t="s">
        <v>1696</v>
      </c>
    </row>
    <row r="454" spans="1:2" x14ac:dyDescent="0.25">
      <c r="A454" t="s">
        <v>610</v>
      </c>
      <c r="B454" t="s">
        <v>1643</v>
      </c>
    </row>
    <row r="455" spans="1:2" x14ac:dyDescent="0.25">
      <c r="A455" t="s">
        <v>953</v>
      </c>
      <c r="B455" t="s">
        <v>2731</v>
      </c>
    </row>
    <row r="456" spans="1:2" x14ac:dyDescent="0.25">
      <c r="A456" t="s">
        <v>609</v>
      </c>
      <c r="B456" t="s">
        <v>1577</v>
      </c>
    </row>
    <row r="457" spans="1:2" x14ac:dyDescent="0.25">
      <c r="A457" t="s">
        <v>602</v>
      </c>
      <c r="B457" t="s">
        <v>1177</v>
      </c>
    </row>
    <row r="458" spans="1:2" x14ac:dyDescent="0.25">
      <c r="A458" t="s">
        <v>630</v>
      </c>
      <c r="B458" t="s">
        <v>2474</v>
      </c>
    </row>
    <row r="459" spans="1:2" x14ac:dyDescent="0.25">
      <c r="A459" t="s">
        <v>619</v>
      </c>
      <c r="B459" t="s">
        <v>2089</v>
      </c>
    </row>
    <row r="460" spans="1:2" x14ac:dyDescent="0.25">
      <c r="A460" t="s">
        <v>619</v>
      </c>
      <c r="B460" t="s">
        <v>2109</v>
      </c>
    </row>
    <row r="461" spans="1:2" x14ac:dyDescent="0.25">
      <c r="A461" t="s">
        <v>620</v>
      </c>
      <c r="B461" t="s">
        <v>2164</v>
      </c>
    </row>
    <row r="462" spans="1:2" x14ac:dyDescent="0.25">
      <c r="A462" t="s">
        <v>619</v>
      </c>
      <c r="B462" t="s">
        <v>2118</v>
      </c>
    </row>
    <row r="463" spans="1:2" x14ac:dyDescent="0.25">
      <c r="A463" t="s">
        <v>615</v>
      </c>
      <c r="B463" t="s">
        <v>1861</v>
      </c>
    </row>
    <row r="464" spans="1:2" x14ac:dyDescent="0.25">
      <c r="A464" t="s">
        <v>616</v>
      </c>
      <c r="B464" t="s">
        <v>1916</v>
      </c>
    </row>
    <row r="465" spans="1:2" x14ac:dyDescent="0.25">
      <c r="A465" t="s">
        <v>622</v>
      </c>
      <c r="B465" t="s">
        <v>2225</v>
      </c>
    </row>
    <row r="466" spans="1:2" x14ac:dyDescent="0.25">
      <c r="A466" t="s">
        <v>613</v>
      </c>
      <c r="B466" t="s">
        <v>1807</v>
      </c>
    </row>
    <row r="467" spans="1:2" x14ac:dyDescent="0.25">
      <c r="A467" t="s">
        <v>601</v>
      </c>
      <c r="B467" t="s">
        <v>18</v>
      </c>
    </row>
    <row r="468" spans="1:2" x14ac:dyDescent="0.25">
      <c r="A468" t="s">
        <v>628</v>
      </c>
      <c r="B468" t="s">
        <v>2422</v>
      </c>
    </row>
    <row r="469" spans="1:2" x14ac:dyDescent="0.25">
      <c r="A469" t="s">
        <v>601</v>
      </c>
      <c r="B469" t="s">
        <v>1116</v>
      </c>
    </row>
    <row r="470" spans="1:2" x14ac:dyDescent="0.25">
      <c r="A470" t="s">
        <v>602</v>
      </c>
      <c r="B470" t="s">
        <v>1116</v>
      </c>
    </row>
    <row r="471" spans="1:2" x14ac:dyDescent="0.25">
      <c r="A471" t="s">
        <v>603</v>
      </c>
      <c r="B471" t="s">
        <v>1116</v>
      </c>
    </row>
    <row r="472" spans="1:2" x14ac:dyDescent="0.25">
      <c r="A472" t="s">
        <v>604</v>
      </c>
      <c r="B472" t="s">
        <v>1116</v>
      </c>
    </row>
    <row r="473" spans="1:2" x14ac:dyDescent="0.25">
      <c r="A473" t="s">
        <v>605</v>
      </c>
      <c r="B473" t="s">
        <v>1116</v>
      </c>
    </row>
    <row r="474" spans="1:2" x14ac:dyDescent="0.25">
      <c r="A474" t="s">
        <v>606</v>
      </c>
      <c r="B474" t="s">
        <v>1116</v>
      </c>
    </row>
    <row r="475" spans="1:2" x14ac:dyDescent="0.25">
      <c r="A475" t="s">
        <v>607</v>
      </c>
      <c r="B475" t="s">
        <v>1116</v>
      </c>
    </row>
    <row r="476" spans="1:2" x14ac:dyDescent="0.25">
      <c r="A476" t="s">
        <v>608</v>
      </c>
      <c r="B476" t="s">
        <v>1116</v>
      </c>
    </row>
    <row r="477" spans="1:2" x14ac:dyDescent="0.25">
      <c r="A477" t="s">
        <v>609</v>
      </c>
      <c r="B477" t="s">
        <v>1116</v>
      </c>
    </row>
    <row r="478" spans="1:2" x14ac:dyDescent="0.25">
      <c r="A478" t="s">
        <v>953</v>
      </c>
      <c r="B478" t="s">
        <v>1116</v>
      </c>
    </row>
    <row r="479" spans="1:2" x14ac:dyDescent="0.25">
      <c r="A479" t="s">
        <v>610</v>
      </c>
      <c r="B479" t="s">
        <v>1116</v>
      </c>
    </row>
    <row r="480" spans="1:2" x14ac:dyDescent="0.25">
      <c r="A480" t="s">
        <v>611</v>
      </c>
      <c r="B480" t="s">
        <v>1116</v>
      </c>
    </row>
    <row r="481" spans="1:2" x14ac:dyDescent="0.25">
      <c r="A481" t="s">
        <v>612</v>
      </c>
      <c r="B481" t="s">
        <v>1116</v>
      </c>
    </row>
    <row r="482" spans="1:2" x14ac:dyDescent="0.25">
      <c r="A482" t="s">
        <v>831</v>
      </c>
      <c r="B482" t="s">
        <v>1116</v>
      </c>
    </row>
    <row r="483" spans="1:2" x14ac:dyDescent="0.25">
      <c r="A483" t="s">
        <v>613</v>
      </c>
      <c r="B483" t="s">
        <v>1116</v>
      </c>
    </row>
    <row r="484" spans="1:2" x14ac:dyDescent="0.25">
      <c r="A484" t="s">
        <v>614</v>
      </c>
      <c r="B484" t="s">
        <v>1116</v>
      </c>
    </row>
    <row r="485" spans="1:2" x14ac:dyDescent="0.25">
      <c r="A485" t="s">
        <v>616</v>
      </c>
      <c r="B485" t="s">
        <v>1116</v>
      </c>
    </row>
    <row r="486" spans="1:2" x14ac:dyDescent="0.25">
      <c r="A486" t="s">
        <v>1012</v>
      </c>
      <c r="B486" t="s">
        <v>1116</v>
      </c>
    </row>
    <row r="487" spans="1:2" x14ac:dyDescent="0.25">
      <c r="A487" t="s">
        <v>635</v>
      </c>
      <c r="B487" t="s">
        <v>1116</v>
      </c>
    </row>
    <row r="488" spans="1:2" x14ac:dyDescent="0.25">
      <c r="A488" t="s">
        <v>617</v>
      </c>
      <c r="B488" t="s">
        <v>1116</v>
      </c>
    </row>
    <row r="489" spans="1:2" x14ac:dyDescent="0.25">
      <c r="A489" t="s">
        <v>618</v>
      </c>
      <c r="B489" t="s">
        <v>1116</v>
      </c>
    </row>
    <row r="490" spans="1:2" x14ac:dyDescent="0.25">
      <c r="A490" t="s">
        <v>1045</v>
      </c>
      <c r="B490" t="s">
        <v>1116</v>
      </c>
    </row>
    <row r="491" spans="1:2" x14ac:dyDescent="0.25">
      <c r="A491" t="s">
        <v>619</v>
      </c>
      <c r="B491" t="s">
        <v>1116</v>
      </c>
    </row>
    <row r="492" spans="1:2" x14ac:dyDescent="0.25">
      <c r="A492" t="s">
        <v>915</v>
      </c>
      <c r="B492" t="s">
        <v>1116</v>
      </c>
    </row>
    <row r="493" spans="1:2" x14ac:dyDescent="0.25">
      <c r="A493" t="s">
        <v>620</v>
      </c>
      <c r="B493" t="s">
        <v>1116</v>
      </c>
    </row>
    <row r="494" spans="1:2" x14ac:dyDescent="0.25">
      <c r="A494" t="s">
        <v>622</v>
      </c>
      <c r="B494" t="s">
        <v>1116</v>
      </c>
    </row>
    <row r="495" spans="1:2" x14ac:dyDescent="0.25">
      <c r="A495" t="s">
        <v>623</v>
      </c>
      <c r="B495" t="s">
        <v>1116</v>
      </c>
    </row>
    <row r="496" spans="1:2" x14ac:dyDescent="0.25">
      <c r="A496" t="s">
        <v>2808</v>
      </c>
      <c r="B496" t="s">
        <v>1116</v>
      </c>
    </row>
    <row r="497" spans="1:2" x14ac:dyDescent="0.25">
      <c r="A497" t="s">
        <v>624</v>
      </c>
      <c r="B497" t="s">
        <v>1116</v>
      </c>
    </row>
    <row r="498" spans="1:2" x14ac:dyDescent="0.25">
      <c r="A498" t="s">
        <v>627</v>
      </c>
      <c r="B498" t="s">
        <v>1116</v>
      </c>
    </row>
    <row r="499" spans="1:2" x14ac:dyDescent="0.25">
      <c r="A499" t="s">
        <v>628</v>
      </c>
      <c r="B499" t="s">
        <v>1116</v>
      </c>
    </row>
    <row r="500" spans="1:2" x14ac:dyDescent="0.25">
      <c r="A500" t="s">
        <v>630</v>
      </c>
      <c r="B500" t="s">
        <v>1116</v>
      </c>
    </row>
    <row r="501" spans="1:2" x14ac:dyDescent="0.25">
      <c r="A501" t="s">
        <v>631</v>
      </c>
      <c r="B501" t="s">
        <v>1116</v>
      </c>
    </row>
    <row r="502" spans="1:2" x14ac:dyDescent="0.25">
      <c r="A502" t="s">
        <v>632</v>
      </c>
      <c r="B502" t="s">
        <v>1116</v>
      </c>
    </row>
    <row r="503" spans="1:2" x14ac:dyDescent="0.25">
      <c r="A503" t="s">
        <v>633</v>
      </c>
      <c r="B503" t="s">
        <v>1116</v>
      </c>
    </row>
    <row r="504" spans="1:2" x14ac:dyDescent="0.25">
      <c r="A504" t="s">
        <v>614</v>
      </c>
      <c r="B504" t="s">
        <v>1831</v>
      </c>
    </row>
    <row r="505" spans="1:2" x14ac:dyDescent="0.25">
      <c r="A505" t="s">
        <v>622</v>
      </c>
      <c r="B505" t="s">
        <v>2226</v>
      </c>
    </row>
    <row r="506" spans="1:2" x14ac:dyDescent="0.25">
      <c r="A506" t="s">
        <v>633</v>
      </c>
      <c r="B506" t="s">
        <v>2594</v>
      </c>
    </row>
    <row r="507" spans="1:2" x14ac:dyDescent="0.25">
      <c r="A507" t="s">
        <v>604</v>
      </c>
      <c r="B507" t="s">
        <v>1303</v>
      </c>
    </row>
    <row r="508" spans="1:2" x14ac:dyDescent="0.25">
      <c r="A508" t="s">
        <v>2808</v>
      </c>
      <c r="B508" t="s">
        <v>2316</v>
      </c>
    </row>
    <row r="509" spans="1:2" x14ac:dyDescent="0.25">
      <c r="A509" t="s">
        <v>1012</v>
      </c>
      <c r="B509" t="s">
        <v>1618</v>
      </c>
    </row>
    <row r="510" spans="1:2" x14ac:dyDescent="0.25">
      <c r="A510" t="s">
        <v>631</v>
      </c>
      <c r="B510" t="s">
        <v>2521</v>
      </c>
    </row>
    <row r="511" spans="1:2" x14ac:dyDescent="0.25">
      <c r="A511" t="s">
        <v>609</v>
      </c>
      <c r="B511" t="s">
        <v>1591</v>
      </c>
    </row>
    <row r="512" spans="1:2" x14ac:dyDescent="0.25">
      <c r="A512" t="s">
        <v>631</v>
      </c>
      <c r="B512" t="s">
        <v>2515</v>
      </c>
    </row>
    <row r="513" spans="1:2" x14ac:dyDescent="0.25">
      <c r="A513" t="s">
        <v>624</v>
      </c>
      <c r="B513" t="s">
        <v>2340</v>
      </c>
    </row>
    <row r="514" spans="1:2" x14ac:dyDescent="0.25">
      <c r="A514" t="s">
        <v>630</v>
      </c>
      <c r="B514" t="s">
        <v>2484</v>
      </c>
    </row>
    <row r="515" spans="1:2" x14ac:dyDescent="0.25">
      <c r="A515" t="s">
        <v>609</v>
      </c>
      <c r="B515" t="s">
        <v>1556</v>
      </c>
    </row>
    <row r="516" spans="1:2" x14ac:dyDescent="0.25">
      <c r="A516" t="s">
        <v>632</v>
      </c>
      <c r="B516" t="s">
        <v>2781</v>
      </c>
    </row>
    <row r="517" spans="1:2" x14ac:dyDescent="0.25">
      <c r="A517" t="s">
        <v>611</v>
      </c>
      <c r="B517" t="s">
        <v>1691</v>
      </c>
    </row>
    <row r="518" spans="1:2" x14ac:dyDescent="0.25">
      <c r="A518" t="s">
        <v>612</v>
      </c>
      <c r="B518" t="s">
        <v>1691</v>
      </c>
    </row>
    <row r="519" spans="1:2" x14ac:dyDescent="0.25">
      <c r="A519" t="s">
        <v>630</v>
      </c>
      <c r="B519" t="s">
        <v>1691</v>
      </c>
    </row>
    <row r="520" spans="1:2" x14ac:dyDescent="0.25">
      <c r="A520" t="s">
        <v>635</v>
      </c>
      <c r="B520" t="s">
        <v>1986</v>
      </c>
    </row>
    <row r="521" spans="1:2" x14ac:dyDescent="0.25">
      <c r="A521" t="s">
        <v>1045</v>
      </c>
      <c r="B521" t="s">
        <v>1078</v>
      </c>
    </row>
    <row r="522" spans="1:2" x14ac:dyDescent="0.25">
      <c r="A522" t="s">
        <v>622</v>
      </c>
      <c r="B522" t="s">
        <v>808</v>
      </c>
    </row>
    <row r="523" spans="1:2" x14ac:dyDescent="0.25">
      <c r="A523" t="s">
        <v>608</v>
      </c>
      <c r="B523" t="s">
        <v>1514</v>
      </c>
    </row>
    <row r="524" spans="1:2" x14ac:dyDescent="0.25">
      <c r="A524" t="s">
        <v>603</v>
      </c>
      <c r="B524" t="s">
        <v>1255</v>
      </c>
    </row>
    <row r="525" spans="1:2" x14ac:dyDescent="0.25">
      <c r="A525" t="s">
        <v>633</v>
      </c>
      <c r="B525" t="s">
        <v>2556</v>
      </c>
    </row>
    <row r="526" spans="1:2" x14ac:dyDescent="0.25">
      <c r="A526" t="s">
        <v>601</v>
      </c>
      <c r="B526" t="s">
        <v>20</v>
      </c>
    </row>
    <row r="527" spans="1:2" x14ac:dyDescent="0.25">
      <c r="A527" t="s">
        <v>1045</v>
      </c>
      <c r="B527" t="s">
        <v>1109</v>
      </c>
    </row>
    <row r="528" spans="1:2" x14ac:dyDescent="0.25">
      <c r="A528" t="s">
        <v>611</v>
      </c>
      <c r="B528" t="s">
        <v>1699</v>
      </c>
    </row>
    <row r="529" spans="1:2" x14ac:dyDescent="0.25">
      <c r="A529" t="s">
        <v>620</v>
      </c>
      <c r="B529" t="s">
        <v>1699</v>
      </c>
    </row>
    <row r="530" spans="1:2" x14ac:dyDescent="0.25">
      <c r="A530" t="s">
        <v>622</v>
      </c>
      <c r="B530" t="s">
        <v>1699</v>
      </c>
    </row>
    <row r="531" spans="1:2" x14ac:dyDescent="0.25">
      <c r="A531" t="s">
        <v>631</v>
      </c>
      <c r="B531" t="s">
        <v>1699</v>
      </c>
    </row>
    <row r="532" spans="1:2" x14ac:dyDescent="0.25">
      <c r="A532" t="s">
        <v>601</v>
      </c>
      <c r="B532" t="s">
        <v>1132</v>
      </c>
    </row>
    <row r="533" spans="1:2" x14ac:dyDescent="0.25">
      <c r="A533" t="s">
        <v>604</v>
      </c>
      <c r="B533" t="s">
        <v>1132</v>
      </c>
    </row>
    <row r="534" spans="1:2" x14ac:dyDescent="0.25">
      <c r="A534" t="s">
        <v>611</v>
      </c>
      <c r="B534" t="s">
        <v>1132</v>
      </c>
    </row>
    <row r="535" spans="1:2" x14ac:dyDescent="0.25">
      <c r="A535" t="s">
        <v>612</v>
      </c>
      <c r="B535" t="s">
        <v>1132</v>
      </c>
    </row>
    <row r="536" spans="1:2" x14ac:dyDescent="0.25">
      <c r="A536" t="s">
        <v>615</v>
      </c>
      <c r="B536" t="s">
        <v>1132</v>
      </c>
    </row>
    <row r="537" spans="1:2" x14ac:dyDescent="0.25">
      <c r="A537" t="s">
        <v>622</v>
      </c>
      <c r="B537" t="s">
        <v>1132</v>
      </c>
    </row>
    <row r="538" spans="1:2" x14ac:dyDescent="0.25">
      <c r="A538" t="s">
        <v>628</v>
      </c>
      <c r="B538" t="s">
        <v>1132</v>
      </c>
    </row>
    <row r="539" spans="1:2" x14ac:dyDescent="0.25">
      <c r="A539" t="s">
        <v>629</v>
      </c>
      <c r="B539" t="s">
        <v>1132</v>
      </c>
    </row>
    <row r="540" spans="1:2" x14ac:dyDescent="0.25">
      <c r="A540" t="s">
        <v>630</v>
      </c>
      <c r="B540" t="s">
        <v>1132</v>
      </c>
    </row>
    <row r="541" spans="1:2" x14ac:dyDescent="0.25">
      <c r="A541" t="s">
        <v>631</v>
      </c>
      <c r="B541" t="s">
        <v>1132</v>
      </c>
    </row>
    <row r="542" spans="1:2" x14ac:dyDescent="0.25">
      <c r="A542" t="s">
        <v>601</v>
      </c>
      <c r="B542" t="s">
        <v>822</v>
      </c>
    </row>
    <row r="543" spans="1:2" x14ac:dyDescent="0.25">
      <c r="A543" t="s">
        <v>620</v>
      </c>
      <c r="B543" t="s">
        <v>822</v>
      </c>
    </row>
    <row r="544" spans="1:2" x14ac:dyDescent="0.25">
      <c r="A544" t="s">
        <v>607</v>
      </c>
      <c r="B544" t="s">
        <v>1457</v>
      </c>
    </row>
    <row r="545" spans="1:2" x14ac:dyDescent="0.25">
      <c r="A545" t="s">
        <v>2808</v>
      </c>
      <c r="B545" t="s">
        <v>173</v>
      </c>
    </row>
    <row r="546" spans="1:2" x14ac:dyDescent="0.25">
      <c r="A546" t="s">
        <v>603</v>
      </c>
      <c r="B546" t="s">
        <v>1251</v>
      </c>
    </row>
    <row r="547" spans="1:2" x14ac:dyDescent="0.25">
      <c r="A547" t="s">
        <v>633</v>
      </c>
      <c r="B547" t="s">
        <v>2844</v>
      </c>
    </row>
    <row r="548" spans="1:2" x14ac:dyDescent="0.25">
      <c r="A548" t="s">
        <v>603</v>
      </c>
      <c r="B548" t="s">
        <v>1253</v>
      </c>
    </row>
    <row r="549" spans="1:2" x14ac:dyDescent="0.25">
      <c r="A549" t="s">
        <v>631</v>
      </c>
      <c r="B549" t="s">
        <v>2508</v>
      </c>
    </row>
    <row r="550" spans="1:2" x14ac:dyDescent="0.25">
      <c r="A550" t="s">
        <v>628</v>
      </c>
      <c r="B550" t="s">
        <v>2415</v>
      </c>
    </row>
    <row r="551" spans="1:2" x14ac:dyDescent="0.25">
      <c r="A551" t="s">
        <v>605</v>
      </c>
      <c r="B551" t="s">
        <v>1338</v>
      </c>
    </row>
    <row r="552" spans="1:2" x14ac:dyDescent="0.25">
      <c r="A552" t="s">
        <v>604</v>
      </c>
      <c r="B552" t="s">
        <v>715</v>
      </c>
    </row>
    <row r="553" spans="1:2" x14ac:dyDescent="0.25">
      <c r="A553" t="s">
        <v>611</v>
      </c>
      <c r="B553" t="s">
        <v>1710</v>
      </c>
    </row>
    <row r="554" spans="1:2" x14ac:dyDescent="0.25">
      <c r="A554" t="s">
        <v>612</v>
      </c>
      <c r="B554" t="s">
        <v>1710</v>
      </c>
    </row>
    <row r="555" spans="1:2" x14ac:dyDescent="0.25">
      <c r="A555" t="s">
        <v>630</v>
      </c>
      <c r="B555" t="s">
        <v>2800</v>
      </c>
    </row>
    <row r="556" spans="1:2" x14ac:dyDescent="0.25">
      <c r="A556" t="s">
        <v>623</v>
      </c>
      <c r="B556" t="s">
        <v>2247</v>
      </c>
    </row>
    <row r="557" spans="1:2" x14ac:dyDescent="0.25">
      <c r="A557" t="s">
        <v>630</v>
      </c>
      <c r="B557" t="s">
        <v>2475</v>
      </c>
    </row>
    <row r="558" spans="1:2" x14ac:dyDescent="0.25">
      <c r="A558" t="s">
        <v>609</v>
      </c>
      <c r="B558" t="s">
        <v>1586</v>
      </c>
    </row>
    <row r="559" spans="1:2" x14ac:dyDescent="0.25">
      <c r="A559" t="s">
        <v>610</v>
      </c>
      <c r="B559" t="s">
        <v>1670</v>
      </c>
    </row>
    <row r="560" spans="1:2" x14ac:dyDescent="0.25">
      <c r="A560" t="s">
        <v>608</v>
      </c>
      <c r="B560" t="s">
        <v>888</v>
      </c>
    </row>
    <row r="561" spans="1:2" x14ac:dyDescent="0.25">
      <c r="A561" t="s">
        <v>618</v>
      </c>
      <c r="B561" t="s">
        <v>888</v>
      </c>
    </row>
    <row r="562" spans="1:2" x14ac:dyDescent="0.25">
      <c r="A562" t="s">
        <v>604</v>
      </c>
      <c r="B562" t="s">
        <v>1290</v>
      </c>
    </row>
    <row r="563" spans="1:2" x14ac:dyDescent="0.25">
      <c r="A563" t="s">
        <v>623</v>
      </c>
      <c r="B563" t="s">
        <v>2256</v>
      </c>
    </row>
    <row r="564" spans="1:2" x14ac:dyDescent="0.25">
      <c r="A564" t="s">
        <v>610</v>
      </c>
      <c r="B564" t="s">
        <v>789</v>
      </c>
    </row>
    <row r="565" spans="1:2" x14ac:dyDescent="0.25">
      <c r="A565" t="s">
        <v>1012</v>
      </c>
      <c r="B565" t="s">
        <v>1602</v>
      </c>
    </row>
    <row r="566" spans="1:2" x14ac:dyDescent="0.25">
      <c r="A566" t="s">
        <v>609</v>
      </c>
      <c r="B566" t="s">
        <v>1550</v>
      </c>
    </row>
    <row r="567" spans="1:2" x14ac:dyDescent="0.25">
      <c r="A567" t="s">
        <v>953</v>
      </c>
      <c r="B567" t="s">
        <v>996</v>
      </c>
    </row>
    <row r="568" spans="1:2" x14ac:dyDescent="0.25">
      <c r="A568" t="s">
        <v>627</v>
      </c>
      <c r="B568" t="s">
        <v>2398</v>
      </c>
    </row>
    <row r="569" spans="1:2" x14ac:dyDescent="0.25">
      <c r="A569" t="s">
        <v>601</v>
      </c>
      <c r="B569" t="s">
        <v>1143</v>
      </c>
    </row>
    <row r="570" spans="1:2" x14ac:dyDescent="0.25">
      <c r="A570" t="s">
        <v>915</v>
      </c>
      <c r="B570" t="s">
        <v>1143</v>
      </c>
    </row>
    <row r="571" spans="1:2" x14ac:dyDescent="0.25">
      <c r="A571" t="s">
        <v>601</v>
      </c>
      <c r="B571" t="s">
        <v>1123</v>
      </c>
    </row>
    <row r="572" spans="1:2" x14ac:dyDescent="0.25">
      <c r="A572" t="s">
        <v>604</v>
      </c>
      <c r="B572" t="s">
        <v>1123</v>
      </c>
    </row>
    <row r="573" spans="1:2" x14ac:dyDescent="0.25">
      <c r="A573" t="s">
        <v>613</v>
      </c>
      <c r="B573" t="s">
        <v>1123</v>
      </c>
    </row>
    <row r="574" spans="1:2" x14ac:dyDescent="0.25">
      <c r="A574" t="s">
        <v>915</v>
      </c>
      <c r="B574" t="s">
        <v>1123</v>
      </c>
    </row>
    <row r="575" spans="1:2" x14ac:dyDescent="0.25">
      <c r="A575" t="s">
        <v>2808</v>
      </c>
      <c r="B575" t="s">
        <v>1123</v>
      </c>
    </row>
    <row r="576" spans="1:2" x14ac:dyDescent="0.25">
      <c r="A576" t="s">
        <v>629</v>
      </c>
      <c r="B576" t="s">
        <v>1222</v>
      </c>
    </row>
    <row r="577" spans="1:2" x14ac:dyDescent="0.25">
      <c r="A577" t="s">
        <v>607</v>
      </c>
      <c r="B577" t="s">
        <v>1429</v>
      </c>
    </row>
    <row r="578" spans="1:2" x14ac:dyDescent="0.25">
      <c r="A578" t="s">
        <v>614</v>
      </c>
      <c r="B578" t="s">
        <v>1429</v>
      </c>
    </row>
    <row r="579" spans="1:2" x14ac:dyDescent="0.25">
      <c r="A579" t="s">
        <v>622</v>
      </c>
      <c r="B579" t="s">
        <v>2240</v>
      </c>
    </row>
    <row r="580" spans="1:2" x14ac:dyDescent="0.25">
      <c r="A580" t="s">
        <v>605</v>
      </c>
      <c r="B580" t="s">
        <v>1331</v>
      </c>
    </row>
    <row r="581" spans="1:2" x14ac:dyDescent="0.25">
      <c r="A581" t="s">
        <v>611</v>
      </c>
      <c r="B581" t="s">
        <v>1331</v>
      </c>
    </row>
    <row r="582" spans="1:2" x14ac:dyDescent="0.25">
      <c r="A582" t="s">
        <v>612</v>
      </c>
      <c r="B582" t="s">
        <v>1331</v>
      </c>
    </row>
    <row r="583" spans="1:2" x14ac:dyDescent="0.25">
      <c r="A583" t="s">
        <v>620</v>
      </c>
      <c r="B583" t="s">
        <v>1331</v>
      </c>
    </row>
    <row r="584" spans="1:2" x14ac:dyDescent="0.25">
      <c r="A584" t="s">
        <v>620</v>
      </c>
      <c r="B584" t="s">
        <v>804</v>
      </c>
    </row>
    <row r="585" spans="1:2" x14ac:dyDescent="0.25">
      <c r="A585" t="s">
        <v>601</v>
      </c>
      <c r="B585" t="s">
        <v>791</v>
      </c>
    </row>
    <row r="586" spans="1:2" x14ac:dyDescent="0.25">
      <c r="A586" t="s">
        <v>631</v>
      </c>
      <c r="B586" t="s">
        <v>2520</v>
      </c>
    </row>
    <row r="587" spans="1:2" x14ac:dyDescent="0.25">
      <c r="A587" t="s">
        <v>619</v>
      </c>
      <c r="B587" t="s">
        <v>2108</v>
      </c>
    </row>
    <row r="588" spans="1:2" x14ac:dyDescent="0.25">
      <c r="A588" t="s">
        <v>611</v>
      </c>
      <c r="B588" t="s">
        <v>1704</v>
      </c>
    </row>
    <row r="589" spans="1:2" x14ac:dyDescent="0.25">
      <c r="A589" t="s">
        <v>612</v>
      </c>
      <c r="B589" t="s">
        <v>1704</v>
      </c>
    </row>
    <row r="590" spans="1:2" x14ac:dyDescent="0.25">
      <c r="A590" t="s">
        <v>601</v>
      </c>
      <c r="B590" t="s">
        <v>1126</v>
      </c>
    </row>
    <row r="591" spans="1:2" x14ac:dyDescent="0.25">
      <c r="A591" t="s">
        <v>915</v>
      </c>
      <c r="B591" t="s">
        <v>1126</v>
      </c>
    </row>
    <row r="592" spans="1:2" x14ac:dyDescent="0.25">
      <c r="A592" t="s">
        <v>623</v>
      </c>
      <c r="B592" t="s">
        <v>2272</v>
      </c>
    </row>
    <row r="593" spans="1:2" x14ac:dyDescent="0.25">
      <c r="A593" t="s">
        <v>1012</v>
      </c>
      <c r="B593" t="s">
        <v>1603</v>
      </c>
    </row>
    <row r="594" spans="1:2" x14ac:dyDescent="0.25">
      <c r="A594" t="s">
        <v>614</v>
      </c>
      <c r="B594" t="s">
        <v>970</v>
      </c>
    </row>
    <row r="595" spans="1:2" x14ac:dyDescent="0.25">
      <c r="A595" t="s">
        <v>633</v>
      </c>
      <c r="B595" t="s">
        <v>970</v>
      </c>
    </row>
    <row r="596" spans="1:2" x14ac:dyDescent="0.25">
      <c r="A596" t="s">
        <v>603</v>
      </c>
      <c r="B596" t="s">
        <v>1228</v>
      </c>
    </row>
    <row r="597" spans="1:2" x14ac:dyDescent="0.25">
      <c r="A597" t="s">
        <v>622</v>
      </c>
      <c r="B597" t="s">
        <v>2217</v>
      </c>
    </row>
    <row r="598" spans="1:2" x14ac:dyDescent="0.25">
      <c r="A598" t="s">
        <v>607</v>
      </c>
      <c r="B598" t="s">
        <v>1422</v>
      </c>
    </row>
    <row r="599" spans="1:2" x14ac:dyDescent="0.25">
      <c r="A599" t="s">
        <v>1012</v>
      </c>
      <c r="B599" t="s">
        <v>1015</v>
      </c>
    </row>
    <row r="600" spans="1:2" x14ac:dyDescent="0.25">
      <c r="A600" t="s">
        <v>603</v>
      </c>
      <c r="B600" t="s">
        <v>1219</v>
      </c>
    </row>
    <row r="601" spans="1:2" x14ac:dyDescent="0.25">
      <c r="A601" t="s">
        <v>607</v>
      </c>
      <c r="B601" t="s">
        <v>1219</v>
      </c>
    </row>
    <row r="602" spans="1:2" x14ac:dyDescent="0.25">
      <c r="A602" t="s">
        <v>619</v>
      </c>
      <c r="B602" t="s">
        <v>1219</v>
      </c>
    </row>
    <row r="603" spans="1:2" x14ac:dyDescent="0.25">
      <c r="A603" t="s">
        <v>609</v>
      </c>
      <c r="B603" t="s">
        <v>1555</v>
      </c>
    </row>
    <row r="604" spans="1:2" x14ac:dyDescent="0.25">
      <c r="A604" t="s">
        <v>635</v>
      </c>
      <c r="B604" t="s">
        <v>1967</v>
      </c>
    </row>
    <row r="605" spans="1:2" x14ac:dyDescent="0.25">
      <c r="A605" t="s">
        <v>607</v>
      </c>
      <c r="B605" t="s">
        <v>358</v>
      </c>
    </row>
    <row r="606" spans="1:2" x14ac:dyDescent="0.25">
      <c r="A606" t="s">
        <v>1045</v>
      </c>
      <c r="B606" t="s">
        <v>358</v>
      </c>
    </row>
    <row r="607" spans="1:2" x14ac:dyDescent="0.25">
      <c r="A607" t="s">
        <v>606</v>
      </c>
      <c r="B607" t="s">
        <v>1364</v>
      </c>
    </row>
    <row r="608" spans="1:2" x14ac:dyDescent="0.25">
      <c r="A608" t="s">
        <v>615</v>
      </c>
      <c r="B608" t="s">
        <v>1364</v>
      </c>
    </row>
    <row r="609" spans="1:2" x14ac:dyDescent="0.25">
      <c r="A609" t="s">
        <v>624</v>
      </c>
      <c r="B609" t="s">
        <v>1364</v>
      </c>
    </row>
    <row r="610" spans="1:2" x14ac:dyDescent="0.25">
      <c r="A610" t="s">
        <v>627</v>
      </c>
      <c r="B610" t="s">
        <v>1364</v>
      </c>
    </row>
    <row r="611" spans="1:2" x14ac:dyDescent="0.25">
      <c r="A611" t="s">
        <v>615</v>
      </c>
      <c r="B611" t="s">
        <v>1892</v>
      </c>
    </row>
    <row r="612" spans="1:2" x14ac:dyDescent="0.25">
      <c r="A612" t="s">
        <v>603</v>
      </c>
      <c r="B612" t="s">
        <v>1239</v>
      </c>
    </row>
    <row r="613" spans="1:2" x14ac:dyDescent="0.25">
      <c r="A613" t="s">
        <v>631</v>
      </c>
      <c r="B613" t="s">
        <v>1239</v>
      </c>
    </row>
    <row r="614" spans="1:2" x14ac:dyDescent="0.25">
      <c r="A614" t="s">
        <v>620</v>
      </c>
      <c r="B614" t="s">
        <v>2161</v>
      </c>
    </row>
    <row r="615" spans="1:2" x14ac:dyDescent="0.25">
      <c r="A615" t="s">
        <v>615</v>
      </c>
      <c r="B615" t="s">
        <v>1883</v>
      </c>
    </row>
    <row r="616" spans="1:2" x14ac:dyDescent="0.25">
      <c r="A616" t="s">
        <v>628</v>
      </c>
      <c r="B616" t="s">
        <v>2427</v>
      </c>
    </row>
    <row r="617" spans="1:2" x14ac:dyDescent="0.25">
      <c r="A617" t="s">
        <v>607</v>
      </c>
      <c r="B617" t="s">
        <v>1981</v>
      </c>
    </row>
    <row r="618" spans="1:2" x14ac:dyDescent="0.25">
      <c r="A618" t="s">
        <v>635</v>
      </c>
      <c r="B618" t="s">
        <v>1981</v>
      </c>
    </row>
    <row r="619" spans="1:2" x14ac:dyDescent="0.25">
      <c r="A619" t="s">
        <v>607</v>
      </c>
      <c r="B619" t="s">
        <v>1439</v>
      </c>
    </row>
    <row r="620" spans="1:2" x14ac:dyDescent="0.25">
      <c r="A620" t="s">
        <v>602</v>
      </c>
      <c r="B620" t="s">
        <v>1184</v>
      </c>
    </row>
    <row r="621" spans="1:2" x14ac:dyDescent="0.25">
      <c r="A621" t="s">
        <v>620</v>
      </c>
      <c r="B621" t="s">
        <v>2176</v>
      </c>
    </row>
    <row r="622" spans="1:2" x14ac:dyDescent="0.25">
      <c r="A622" t="s">
        <v>605</v>
      </c>
      <c r="B622" t="s">
        <v>1357</v>
      </c>
    </row>
    <row r="623" spans="1:2" x14ac:dyDescent="0.25">
      <c r="A623" t="s">
        <v>618</v>
      </c>
      <c r="B623" t="s">
        <v>1357</v>
      </c>
    </row>
    <row r="624" spans="1:2" x14ac:dyDescent="0.25">
      <c r="A624" t="s">
        <v>2808</v>
      </c>
      <c r="B624" t="s">
        <v>1357</v>
      </c>
    </row>
    <row r="625" spans="1:2" x14ac:dyDescent="0.25">
      <c r="A625" t="s">
        <v>619</v>
      </c>
      <c r="B625" t="s">
        <v>2135</v>
      </c>
    </row>
    <row r="626" spans="1:2" x14ac:dyDescent="0.25">
      <c r="A626" t="s">
        <v>613</v>
      </c>
      <c r="B626" t="s">
        <v>1796</v>
      </c>
    </row>
    <row r="627" spans="1:2" x14ac:dyDescent="0.25">
      <c r="A627" t="s">
        <v>953</v>
      </c>
      <c r="B627" t="s">
        <v>972</v>
      </c>
    </row>
    <row r="628" spans="1:2" x14ac:dyDescent="0.25">
      <c r="A628" t="s">
        <v>601</v>
      </c>
      <c r="B628" t="s">
        <v>1113</v>
      </c>
    </row>
    <row r="629" spans="1:2" x14ac:dyDescent="0.25">
      <c r="A629" t="s">
        <v>1012</v>
      </c>
      <c r="B629" t="s">
        <v>1113</v>
      </c>
    </row>
    <row r="630" spans="1:2" x14ac:dyDescent="0.25">
      <c r="A630" t="s">
        <v>607</v>
      </c>
      <c r="B630" t="s">
        <v>1445</v>
      </c>
    </row>
    <row r="631" spans="1:2" x14ac:dyDescent="0.25">
      <c r="A631" t="s">
        <v>831</v>
      </c>
      <c r="B631" t="s">
        <v>1760</v>
      </c>
    </row>
    <row r="632" spans="1:2" x14ac:dyDescent="0.25">
      <c r="A632" t="s">
        <v>613</v>
      </c>
      <c r="B632" t="s">
        <v>1090</v>
      </c>
    </row>
    <row r="633" spans="1:2" x14ac:dyDescent="0.25">
      <c r="A633" t="s">
        <v>1012</v>
      </c>
      <c r="B633" t="s">
        <v>1609</v>
      </c>
    </row>
    <row r="634" spans="1:2" x14ac:dyDescent="0.25">
      <c r="A634" t="s">
        <v>915</v>
      </c>
      <c r="B634" t="s">
        <v>2155</v>
      </c>
    </row>
    <row r="635" spans="1:2" x14ac:dyDescent="0.25">
      <c r="A635" t="s">
        <v>601</v>
      </c>
      <c r="B635" t="s">
        <v>1140</v>
      </c>
    </row>
    <row r="636" spans="1:2" x14ac:dyDescent="0.25">
      <c r="A636" t="s">
        <v>631</v>
      </c>
      <c r="B636" t="s">
        <v>709</v>
      </c>
    </row>
    <row r="637" spans="1:2" x14ac:dyDescent="0.25">
      <c r="A637" t="s">
        <v>611</v>
      </c>
      <c r="B637" t="s">
        <v>1690</v>
      </c>
    </row>
    <row r="638" spans="1:2" x14ac:dyDescent="0.25">
      <c r="A638" t="s">
        <v>617</v>
      </c>
      <c r="B638" t="s">
        <v>2011</v>
      </c>
    </row>
    <row r="639" spans="1:2" x14ac:dyDescent="0.25">
      <c r="A639" t="s">
        <v>622</v>
      </c>
      <c r="B639" t="s">
        <v>2011</v>
      </c>
    </row>
    <row r="640" spans="1:2" x14ac:dyDescent="0.25">
      <c r="A640" t="s">
        <v>607</v>
      </c>
      <c r="B640" t="s">
        <v>1007</v>
      </c>
    </row>
    <row r="641" spans="1:2" x14ac:dyDescent="0.25">
      <c r="A641" t="s">
        <v>635</v>
      </c>
      <c r="B641" t="s">
        <v>1976</v>
      </c>
    </row>
    <row r="642" spans="1:2" x14ac:dyDescent="0.25">
      <c r="A642" t="s">
        <v>628</v>
      </c>
      <c r="B642" t="s">
        <v>2423</v>
      </c>
    </row>
    <row r="643" spans="1:2" x14ac:dyDescent="0.25">
      <c r="A643" t="s">
        <v>611</v>
      </c>
      <c r="B643" t="s">
        <v>1707</v>
      </c>
    </row>
    <row r="644" spans="1:2" x14ac:dyDescent="0.25">
      <c r="A644" t="s">
        <v>622</v>
      </c>
      <c r="B644" t="s">
        <v>1707</v>
      </c>
    </row>
    <row r="645" spans="1:2" x14ac:dyDescent="0.25">
      <c r="A645" t="s">
        <v>1012</v>
      </c>
      <c r="B645" t="s">
        <v>1624</v>
      </c>
    </row>
    <row r="646" spans="1:2" x14ac:dyDescent="0.25">
      <c r="A646" t="s">
        <v>613</v>
      </c>
      <c r="B646" t="s">
        <v>1802</v>
      </c>
    </row>
    <row r="647" spans="1:2" x14ac:dyDescent="0.25">
      <c r="A647" t="s">
        <v>831</v>
      </c>
      <c r="B647" t="s">
        <v>1758</v>
      </c>
    </row>
    <row r="648" spans="1:2" x14ac:dyDescent="0.25">
      <c r="A648" t="s">
        <v>619</v>
      </c>
      <c r="B648" t="s">
        <v>2101</v>
      </c>
    </row>
    <row r="649" spans="1:2" x14ac:dyDescent="0.25">
      <c r="A649" t="s">
        <v>632</v>
      </c>
      <c r="B649" t="s">
        <v>2550</v>
      </c>
    </row>
    <row r="650" spans="1:2" x14ac:dyDescent="0.25">
      <c r="A650" t="s">
        <v>609</v>
      </c>
      <c r="B650" t="s">
        <v>1597</v>
      </c>
    </row>
    <row r="651" spans="1:2" x14ac:dyDescent="0.25">
      <c r="A651" t="s">
        <v>631</v>
      </c>
      <c r="B651" t="s">
        <v>2511</v>
      </c>
    </row>
    <row r="652" spans="1:2" x14ac:dyDescent="0.25">
      <c r="A652" t="s">
        <v>622</v>
      </c>
      <c r="B652" t="s">
        <v>2203</v>
      </c>
    </row>
    <row r="653" spans="1:2" x14ac:dyDescent="0.25">
      <c r="A653" t="s">
        <v>622</v>
      </c>
      <c r="B653" t="s">
        <v>2202</v>
      </c>
    </row>
    <row r="654" spans="1:2" x14ac:dyDescent="0.25">
      <c r="A654" t="s">
        <v>608</v>
      </c>
      <c r="B654" t="s">
        <v>1472</v>
      </c>
    </row>
    <row r="655" spans="1:2" x14ac:dyDescent="0.25">
      <c r="A655" t="s">
        <v>627</v>
      </c>
      <c r="B655" t="s">
        <v>1472</v>
      </c>
    </row>
    <row r="656" spans="1:2" x14ac:dyDescent="0.25">
      <c r="A656" t="s">
        <v>622</v>
      </c>
      <c r="B656" t="s">
        <v>2199</v>
      </c>
    </row>
    <row r="657" spans="1:2" x14ac:dyDescent="0.25">
      <c r="A657" t="s">
        <v>622</v>
      </c>
      <c r="B657" t="s">
        <v>2214</v>
      </c>
    </row>
    <row r="658" spans="1:2" x14ac:dyDescent="0.25">
      <c r="A658" t="s">
        <v>606</v>
      </c>
      <c r="B658" t="s">
        <v>675</v>
      </c>
    </row>
    <row r="659" spans="1:2" x14ac:dyDescent="0.25">
      <c r="A659" t="s">
        <v>603</v>
      </c>
      <c r="B659" t="s">
        <v>1241</v>
      </c>
    </row>
    <row r="660" spans="1:2" x14ac:dyDescent="0.25">
      <c r="A660" t="s">
        <v>631</v>
      </c>
      <c r="B660" t="s">
        <v>1241</v>
      </c>
    </row>
    <row r="661" spans="1:2" x14ac:dyDescent="0.25">
      <c r="A661" t="s">
        <v>601</v>
      </c>
      <c r="B661" t="s">
        <v>1144</v>
      </c>
    </row>
    <row r="662" spans="1:2" x14ac:dyDescent="0.25">
      <c r="A662" t="s">
        <v>611</v>
      </c>
      <c r="B662" t="s">
        <v>1144</v>
      </c>
    </row>
    <row r="663" spans="1:2" x14ac:dyDescent="0.25">
      <c r="A663" t="s">
        <v>612</v>
      </c>
      <c r="B663" t="s">
        <v>1144</v>
      </c>
    </row>
    <row r="664" spans="1:2" x14ac:dyDescent="0.25">
      <c r="A664" t="s">
        <v>608</v>
      </c>
      <c r="B664" t="s">
        <v>1484</v>
      </c>
    </row>
    <row r="665" spans="1:2" x14ac:dyDescent="0.25">
      <c r="A665" t="s">
        <v>635</v>
      </c>
      <c r="B665" t="s">
        <v>1484</v>
      </c>
    </row>
    <row r="666" spans="1:2" x14ac:dyDescent="0.25">
      <c r="A666" t="s">
        <v>2808</v>
      </c>
      <c r="B666" t="s">
        <v>1484</v>
      </c>
    </row>
    <row r="667" spans="1:2" x14ac:dyDescent="0.25">
      <c r="A667" t="s">
        <v>622</v>
      </c>
      <c r="B667" t="s">
        <v>2207</v>
      </c>
    </row>
    <row r="668" spans="1:2" x14ac:dyDescent="0.25">
      <c r="A668" t="s">
        <v>602</v>
      </c>
      <c r="B668" t="s">
        <v>1199</v>
      </c>
    </row>
    <row r="669" spans="1:2" x14ac:dyDescent="0.25">
      <c r="A669" t="s">
        <v>632</v>
      </c>
      <c r="B669" t="s">
        <v>2548</v>
      </c>
    </row>
    <row r="670" spans="1:2" x14ac:dyDescent="0.25">
      <c r="A670" t="s">
        <v>609</v>
      </c>
      <c r="B670" t="s">
        <v>1564</v>
      </c>
    </row>
    <row r="671" spans="1:2" x14ac:dyDescent="0.25">
      <c r="A671" t="s">
        <v>628</v>
      </c>
      <c r="B671" t="s">
        <v>2408</v>
      </c>
    </row>
    <row r="672" spans="1:2" x14ac:dyDescent="0.25">
      <c r="A672" t="s">
        <v>630</v>
      </c>
      <c r="B672" t="s">
        <v>2408</v>
      </c>
    </row>
    <row r="673" spans="1:2" x14ac:dyDescent="0.25">
      <c r="A673" t="s">
        <v>623</v>
      </c>
      <c r="B673" t="s">
        <v>2266</v>
      </c>
    </row>
    <row r="674" spans="1:2" x14ac:dyDescent="0.25">
      <c r="A674" t="s">
        <v>632</v>
      </c>
      <c r="B674" t="s">
        <v>2534</v>
      </c>
    </row>
    <row r="675" spans="1:2" x14ac:dyDescent="0.25">
      <c r="A675" t="s">
        <v>603</v>
      </c>
      <c r="B675" t="s">
        <v>961</v>
      </c>
    </row>
    <row r="676" spans="1:2" x14ac:dyDescent="0.25">
      <c r="A676" t="s">
        <v>606</v>
      </c>
      <c r="B676" t="s">
        <v>961</v>
      </c>
    </row>
    <row r="677" spans="1:2" x14ac:dyDescent="0.25">
      <c r="A677" t="s">
        <v>610</v>
      </c>
      <c r="B677" t="s">
        <v>961</v>
      </c>
    </row>
    <row r="678" spans="1:2" x14ac:dyDescent="0.25">
      <c r="A678" t="s">
        <v>831</v>
      </c>
      <c r="B678" t="s">
        <v>961</v>
      </c>
    </row>
    <row r="679" spans="1:2" x14ac:dyDescent="0.25">
      <c r="A679" t="s">
        <v>617</v>
      </c>
      <c r="B679" t="s">
        <v>961</v>
      </c>
    </row>
    <row r="680" spans="1:2" x14ac:dyDescent="0.25">
      <c r="A680" t="s">
        <v>620</v>
      </c>
      <c r="B680" t="s">
        <v>961</v>
      </c>
    </row>
    <row r="681" spans="1:2" x14ac:dyDescent="0.25">
      <c r="A681" t="s">
        <v>623</v>
      </c>
      <c r="B681" t="s">
        <v>961</v>
      </c>
    </row>
    <row r="682" spans="1:2" x14ac:dyDescent="0.25">
      <c r="A682" t="s">
        <v>628</v>
      </c>
      <c r="B682" t="s">
        <v>961</v>
      </c>
    </row>
    <row r="683" spans="1:2" x14ac:dyDescent="0.25">
      <c r="A683" t="s">
        <v>632</v>
      </c>
      <c r="B683" t="s">
        <v>1055</v>
      </c>
    </row>
    <row r="684" spans="1:2" x14ac:dyDescent="0.25">
      <c r="A684" t="s">
        <v>1045</v>
      </c>
      <c r="B684" t="s">
        <v>2071</v>
      </c>
    </row>
    <row r="685" spans="1:2" x14ac:dyDescent="0.25">
      <c r="A685" t="s">
        <v>608</v>
      </c>
      <c r="B685" t="s">
        <v>1520</v>
      </c>
    </row>
    <row r="686" spans="1:2" x14ac:dyDescent="0.25">
      <c r="A686" t="s">
        <v>631</v>
      </c>
      <c r="B686" t="s">
        <v>2523</v>
      </c>
    </row>
    <row r="687" spans="1:2" x14ac:dyDescent="0.25">
      <c r="A687" t="s">
        <v>633</v>
      </c>
      <c r="B687" t="s">
        <v>766</v>
      </c>
    </row>
    <row r="688" spans="1:2" x14ac:dyDescent="0.25">
      <c r="A688" t="s">
        <v>617</v>
      </c>
      <c r="B688" t="s">
        <v>2022</v>
      </c>
    </row>
    <row r="689" spans="1:2" x14ac:dyDescent="0.25">
      <c r="A689" t="s">
        <v>631</v>
      </c>
      <c r="B689" t="s">
        <v>2496</v>
      </c>
    </row>
    <row r="690" spans="1:2" x14ac:dyDescent="0.25">
      <c r="A690" t="s">
        <v>610</v>
      </c>
      <c r="B690" t="s">
        <v>1639</v>
      </c>
    </row>
    <row r="691" spans="1:2" x14ac:dyDescent="0.25">
      <c r="A691" t="s">
        <v>630</v>
      </c>
      <c r="B691" t="s">
        <v>781</v>
      </c>
    </row>
    <row r="692" spans="1:2" x14ac:dyDescent="0.25">
      <c r="A692" t="s">
        <v>602</v>
      </c>
      <c r="B692" t="s">
        <v>1181</v>
      </c>
    </row>
    <row r="693" spans="1:2" x14ac:dyDescent="0.25">
      <c r="A693" t="s">
        <v>627</v>
      </c>
      <c r="B693" t="s">
        <v>1181</v>
      </c>
    </row>
    <row r="694" spans="1:2" x14ac:dyDescent="0.25">
      <c r="A694" t="s">
        <v>624</v>
      </c>
      <c r="B694" t="s">
        <v>663</v>
      </c>
    </row>
    <row r="695" spans="1:2" x14ac:dyDescent="0.25">
      <c r="A695" t="s">
        <v>620</v>
      </c>
      <c r="B695" t="s">
        <v>2180</v>
      </c>
    </row>
    <row r="696" spans="1:2" x14ac:dyDescent="0.25">
      <c r="A696" t="s">
        <v>610</v>
      </c>
      <c r="B696" t="s">
        <v>1653</v>
      </c>
    </row>
    <row r="697" spans="1:2" x14ac:dyDescent="0.25">
      <c r="A697" t="s">
        <v>619</v>
      </c>
      <c r="B697" t="s">
        <v>2090</v>
      </c>
    </row>
    <row r="698" spans="1:2" x14ac:dyDescent="0.25">
      <c r="A698" t="s">
        <v>607</v>
      </c>
      <c r="B698" t="s">
        <v>787</v>
      </c>
    </row>
    <row r="699" spans="1:2" x14ac:dyDescent="0.25">
      <c r="A699" t="s">
        <v>2616</v>
      </c>
      <c r="B699" t="s">
        <v>2685</v>
      </c>
    </row>
    <row r="700" spans="1:2" x14ac:dyDescent="0.25">
      <c r="A700" t="s">
        <v>631</v>
      </c>
      <c r="B700" t="s">
        <v>2527</v>
      </c>
    </row>
    <row r="701" spans="1:2" x14ac:dyDescent="0.25">
      <c r="A701" t="s">
        <v>623</v>
      </c>
      <c r="B701" t="s">
        <v>2281</v>
      </c>
    </row>
    <row r="702" spans="1:2" x14ac:dyDescent="0.25">
      <c r="A702" t="s">
        <v>606</v>
      </c>
      <c r="B702" t="s">
        <v>109</v>
      </c>
    </row>
    <row r="703" spans="1:2" x14ac:dyDescent="0.25">
      <c r="A703" t="s">
        <v>618</v>
      </c>
      <c r="B703" t="s">
        <v>2051</v>
      </c>
    </row>
    <row r="704" spans="1:2" x14ac:dyDescent="0.25">
      <c r="A704" t="s">
        <v>609</v>
      </c>
      <c r="B704" t="s">
        <v>1553</v>
      </c>
    </row>
    <row r="705" spans="1:2" x14ac:dyDescent="0.25">
      <c r="A705" t="s">
        <v>605</v>
      </c>
      <c r="B705" t="s">
        <v>1339</v>
      </c>
    </row>
    <row r="706" spans="1:2" x14ac:dyDescent="0.25">
      <c r="A706" t="s">
        <v>610</v>
      </c>
      <c r="B706" t="s">
        <v>185</v>
      </c>
    </row>
    <row r="707" spans="1:2" x14ac:dyDescent="0.25">
      <c r="A707" t="s">
        <v>630</v>
      </c>
      <c r="B707" t="s">
        <v>185</v>
      </c>
    </row>
    <row r="708" spans="1:2" x14ac:dyDescent="0.25">
      <c r="A708" t="s">
        <v>623</v>
      </c>
      <c r="B708" t="s">
        <v>2274</v>
      </c>
    </row>
    <row r="709" spans="1:2" x14ac:dyDescent="0.25">
      <c r="A709" t="s">
        <v>603</v>
      </c>
      <c r="B709" t="s">
        <v>186</v>
      </c>
    </row>
    <row r="710" spans="1:2" x14ac:dyDescent="0.25">
      <c r="A710" t="s">
        <v>616</v>
      </c>
      <c r="B710" t="s">
        <v>186</v>
      </c>
    </row>
    <row r="711" spans="1:2" x14ac:dyDescent="0.25">
      <c r="A711" t="s">
        <v>2808</v>
      </c>
      <c r="B711" t="s">
        <v>186</v>
      </c>
    </row>
    <row r="712" spans="1:2" x14ac:dyDescent="0.25">
      <c r="A712" t="s">
        <v>624</v>
      </c>
      <c r="B712" t="s">
        <v>186</v>
      </c>
    </row>
    <row r="713" spans="1:2" x14ac:dyDescent="0.25">
      <c r="A713" t="s">
        <v>628</v>
      </c>
      <c r="B713" t="s">
        <v>186</v>
      </c>
    </row>
    <row r="714" spans="1:2" x14ac:dyDescent="0.25">
      <c r="A714" t="s">
        <v>629</v>
      </c>
      <c r="B714" t="s">
        <v>186</v>
      </c>
    </row>
    <row r="715" spans="1:2" x14ac:dyDescent="0.25">
      <c r="A715" t="s">
        <v>631</v>
      </c>
      <c r="B715" t="s">
        <v>186</v>
      </c>
    </row>
    <row r="716" spans="1:2" x14ac:dyDescent="0.25">
      <c r="A716" t="s">
        <v>2616</v>
      </c>
      <c r="B716" t="s">
        <v>2651</v>
      </c>
    </row>
    <row r="717" spans="1:2" x14ac:dyDescent="0.25">
      <c r="A717" t="s">
        <v>602</v>
      </c>
      <c r="B717" t="s">
        <v>1194</v>
      </c>
    </row>
    <row r="718" spans="1:2" x14ac:dyDescent="0.25">
      <c r="A718" t="s">
        <v>633</v>
      </c>
      <c r="B718" t="s">
        <v>2592</v>
      </c>
    </row>
    <row r="719" spans="1:2" x14ac:dyDescent="0.25">
      <c r="A719" t="s">
        <v>953</v>
      </c>
      <c r="B719" t="s">
        <v>106</v>
      </c>
    </row>
    <row r="720" spans="1:2" x14ac:dyDescent="0.25">
      <c r="A720" t="s">
        <v>635</v>
      </c>
      <c r="B720" t="s">
        <v>106</v>
      </c>
    </row>
    <row r="721" spans="1:2" x14ac:dyDescent="0.25">
      <c r="A721" t="s">
        <v>620</v>
      </c>
      <c r="B721" t="s">
        <v>106</v>
      </c>
    </row>
    <row r="722" spans="1:2" x14ac:dyDescent="0.25">
      <c r="A722" t="s">
        <v>624</v>
      </c>
      <c r="B722" t="s">
        <v>2353</v>
      </c>
    </row>
    <row r="723" spans="1:2" x14ac:dyDescent="0.25">
      <c r="A723" t="s">
        <v>635</v>
      </c>
      <c r="B723" t="s">
        <v>1975</v>
      </c>
    </row>
    <row r="724" spans="1:2" x14ac:dyDescent="0.25">
      <c r="A724" t="s">
        <v>603</v>
      </c>
      <c r="B724" t="s">
        <v>732</v>
      </c>
    </row>
    <row r="725" spans="1:2" x14ac:dyDescent="0.25">
      <c r="A725" t="s">
        <v>610</v>
      </c>
      <c r="B725" t="s">
        <v>732</v>
      </c>
    </row>
    <row r="726" spans="1:2" x14ac:dyDescent="0.25">
      <c r="A726" t="s">
        <v>617</v>
      </c>
      <c r="B726" t="s">
        <v>732</v>
      </c>
    </row>
    <row r="727" spans="1:2" x14ac:dyDescent="0.25">
      <c r="A727" t="s">
        <v>630</v>
      </c>
      <c r="B727" t="s">
        <v>2460</v>
      </c>
    </row>
    <row r="728" spans="1:2" x14ac:dyDescent="0.25">
      <c r="A728" t="s">
        <v>633</v>
      </c>
      <c r="B728" t="s">
        <v>2588</v>
      </c>
    </row>
    <row r="729" spans="1:2" x14ac:dyDescent="0.25">
      <c r="A729" t="s">
        <v>617</v>
      </c>
      <c r="B729" t="s">
        <v>1868</v>
      </c>
    </row>
    <row r="730" spans="1:2" x14ac:dyDescent="0.25">
      <c r="A730" t="s">
        <v>953</v>
      </c>
      <c r="B730" t="s">
        <v>984</v>
      </c>
    </row>
    <row r="731" spans="1:2" x14ac:dyDescent="0.25">
      <c r="A731" t="s">
        <v>609</v>
      </c>
      <c r="B731" t="s">
        <v>1562</v>
      </c>
    </row>
    <row r="732" spans="1:2" x14ac:dyDescent="0.25">
      <c r="A732" t="s">
        <v>604</v>
      </c>
      <c r="B732" t="s">
        <v>1276</v>
      </c>
    </row>
    <row r="733" spans="1:2" x14ac:dyDescent="0.25">
      <c r="A733" t="s">
        <v>606</v>
      </c>
      <c r="B733" t="s">
        <v>798</v>
      </c>
    </row>
    <row r="734" spans="1:2" x14ac:dyDescent="0.25">
      <c r="A734" t="s">
        <v>603</v>
      </c>
      <c r="B734" t="s">
        <v>195</v>
      </c>
    </row>
    <row r="735" spans="1:2" x14ac:dyDescent="0.25">
      <c r="A735" t="s">
        <v>620</v>
      </c>
      <c r="B735" t="s">
        <v>195</v>
      </c>
    </row>
    <row r="736" spans="1:2" x14ac:dyDescent="0.25">
      <c r="A736" t="s">
        <v>1012</v>
      </c>
      <c r="B736" t="s">
        <v>1023</v>
      </c>
    </row>
    <row r="737" spans="1:2" x14ac:dyDescent="0.25">
      <c r="A737" t="s">
        <v>915</v>
      </c>
      <c r="B737" t="s">
        <v>935</v>
      </c>
    </row>
    <row r="738" spans="1:2" x14ac:dyDescent="0.25">
      <c r="A738" t="s">
        <v>605</v>
      </c>
      <c r="B738" t="s">
        <v>2048</v>
      </c>
    </row>
    <row r="739" spans="1:2" x14ac:dyDescent="0.25">
      <c r="A739" t="s">
        <v>618</v>
      </c>
      <c r="B739" t="s">
        <v>2048</v>
      </c>
    </row>
    <row r="740" spans="1:2" x14ac:dyDescent="0.25">
      <c r="A740" t="s">
        <v>613</v>
      </c>
      <c r="B740" t="s">
        <v>1808</v>
      </c>
    </row>
    <row r="741" spans="1:2" x14ac:dyDescent="0.25">
      <c r="A741" t="s">
        <v>1012</v>
      </c>
      <c r="B741" t="s">
        <v>1018</v>
      </c>
    </row>
    <row r="742" spans="1:2" x14ac:dyDescent="0.25">
      <c r="A742" t="s">
        <v>632</v>
      </c>
      <c r="B742" t="s">
        <v>1018</v>
      </c>
    </row>
    <row r="743" spans="1:2" x14ac:dyDescent="0.25">
      <c r="A743" t="s">
        <v>610</v>
      </c>
      <c r="B743" t="s">
        <v>1666</v>
      </c>
    </row>
    <row r="744" spans="1:2" x14ac:dyDescent="0.25">
      <c r="A744" t="s">
        <v>607</v>
      </c>
      <c r="B744" t="s">
        <v>116</v>
      </c>
    </row>
    <row r="745" spans="1:2" x14ac:dyDescent="0.25">
      <c r="A745" t="s">
        <v>629</v>
      </c>
      <c r="B745" t="s">
        <v>116</v>
      </c>
    </row>
    <row r="746" spans="1:2" x14ac:dyDescent="0.25">
      <c r="A746" t="s">
        <v>635</v>
      </c>
      <c r="B746" t="s">
        <v>2619</v>
      </c>
    </row>
    <row r="747" spans="1:2" x14ac:dyDescent="0.25">
      <c r="A747" t="s">
        <v>603</v>
      </c>
      <c r="B747" t="s">
        <v>1208</v>
      </c>
    </row>
    <row r="748" spans="1:2" x14ac:dyDescent="0.25">
      <c r="A748" t="s">
        <v>1045</v>
      </c>
      <c r="B748" t="s">
        <v>1060</v>
      </c>
    </row>
    <row r="749" spans="1:2" x14ac:dyDescent="0.25">
      <c r="A749" t="s">
        <v>605</v>
      </c>
      <c r="B749" t="s">
        <v>1328</v>
      </c>
    </row>
    <row r="750" spans="1:2" x14ac:dyDescent="0.25">
      <c r="A750" t="s">
        <v>627</v>
      </c>
      <c r="B750" t="s">
        <v>2366</v>
      </c>
    </row>
    <row r="751" spans="1:2" x14ac:dyDescent="0.25">
      <c r="A751" t="s">
        <v>1045</v>
      </c>
      <c r="B751" t="s">
        <v>1094</v>
      </c>
    </row>
    <row r="752" spans="1:2" x14ac:dyDescent="0.25">
      <c r="A752" t="s">
        <v>613</v>
      </c>
      <c r="B752" t="s">
        <v>1788</v>
      </c>
    </row>
    <row r="753" spans="1:2" x14ac:dyDescent="0.25">
      <c r="A753" t="s">
        <v>915</v>
      </c>
      <c r="B753" t="s">
        <v>1788</v>
      </c>
    </row>
    <row r="754" spans="1:2" x14ac:dyDescent="0.25">
      <c r="A754" t="s">
        <v>2808</v>
      </c>
      <c r="B754" t="s">
        <v>1788</v>
      </c>
    </row>
    <row r="755" spans="1:2" x14ac:dyDescent="0.25">
      <c r="A755" t="s">
        <v>627</v>
      </c>
      <c r="B755" t="s">
        <v>1788</v>
      </c>
    </row>
    <row r="756" spans="1:2" x14ac:dyDescent="0.25">
      <c r="A756" t="s">
        <v>831</v>
      </c>
      <c r="B756" t="s">
        <v>1749</v>
      </c>
    </row>
    <row r="757" spans="1:2" x14ac:dyDescent="0.25">
      <c r="A757" t="s">
        <v>1012</v>
      </c>
      <c r="B757" t="s">
        <v>1940</v>
      </c>
    </row>
    <row r="758" spans="1:2" x14ac:dyDescent="0.25">
      <c r="A758" t="s">
        <v>611</v>
      </c>
      <c r="B758" t="s">
        <v>1701</v>
      </c>
    </row>
    <row r="759" spans="1:2" x14ac:dyDescent="0.25">
      <c r="A759" t="s">
        <v>608</v>
      </c>
      <c r="B759" t="s">
        <v>1473</v>
      </c>
    </row>
    <row r="760" spans="1:2" x14ac:dyDescent="0.25">
      <c r="A760" t="s">
        <v>608</v>
      </c>
      <c r="B760" t="s">
        <v>1497</v>
      </c>
    </row>
    <row r="761" spans="1:2" x14ac:dyDescent="0.25">
      <c r="A761" t="s">
        <v>1012</v>
      </c>
      <c r="B761" t="s">
        <v>1612</v>
      </c>
    </row>
    <row r="762" spans="1:2" x14ac:dyDescent="0.25">
      <c r="A762" t="s">
        <v>629</v>
      </c>
      <c r="B762" t="s">
        <v>2443</v>
      </c>
    </row>
    <row r="763" spans="1:2" x14ac:dyDescent="0.25">
      <c r="A763" t="s">
        <v>603</v>
      </c>
      <c r="B763" t="s">
        <v>1230</v>
      </c>
    </row>
    <row r="764" spans="1:2" x14ac:dyDescent="0.25">
      <c r="A764" t="s">
        <v>633</v>
      </c>
      <c r="B764" t="s">
        <v>2587</v>
      </c>
    </row>
    <row r="765" spans="1:2" x14ac:dyDescent="0.25">
      <c r="A765" t="s">
        <v>618</v>
      </c>
      <c r="B765" t="s">
        <v>2826</v>
      </c>
    </row>
    <row r="766" spans="1:2" x14ac:dyDescent="0.25">
      <c r="A766" t="s">
        <v>609</v>
      </c>
      <c r="B766" t="s">
        <v>1592</v>
      </c>
    </row>
    <row r="767" spans="1:2" x14ac:dyDescent="0.25">
      <c r="A767" t="s">
        <v>607</v>
      </c>
      <c r="B767" t="s">
        <v>1446</v>
      </c>
    </row>
    <row r="768" spans="1:2" x14ac:dyDescent="0.25">
      <c r="A768" t="s">
        <v>614</v>
      </c>
      <c r="B768" t="s">
        <v>1446</v>
      </c>
    </row>
    <row r="769" spans="1:2" x14ac:dyDescent="0.25">
      <c r="A769" t="s">
        <v>618</v>
      </c>
      <c r="B769" t="s">
        <v>1446</v>
      </c>
    </row>
    <row r="770" spans="1:2" x14ac:dyDescent="0.25">
      <c r="A770" t="s">
        <v>613</v>
      </c>
      <c r="B770" t="s">
        <v>1806</v>
      </c>
    </row>
    <row r="771" spans="1:2" x14ac:dyDescent="0.25">
      <c r="A771" t="s">
        <v>633</v>
      </c>
      <c r="B771" t="s">
        <v>2573</v>
      </c>
    </row>
    <row r="772" spans="1:2" x14ac:dyDescent="0.25">
      <c r="A772" t="s">
        <v>606</v>
      </c>
      <c r="B772" t="s">
        <v>2740</v>
      </c>
    </row>
    <row r="773" spans="1:2" x14ac:dyDescent="0.25">
      <c r="A773" t="s">
        <v>601</v>
      </c>
      <c r="B773" t="s">
        <v>1128</v>
      </c>
    </row>
    <row r="774" spans="1:2" x14ac:dyDescent="0.25">
      <c r="A774" t="s">
        <v>606</v>
      </c>
      <c r="B774" t="s">
        <v>674</v>
      </c>
    </row>
    <row r="775" spans="1:2" x14ac:dyDescent="0.25">
      <c r="A775" t="s">
        <v>1012</v>
      </c>
      <c r="B775" t="s">
        <v>1946</v>
      </c>
    </row>
    <row r="776" spans="1:2" x14ac:dyDescent="0.25">
      <c r="A776" t="s">
        <v>615</v>
      </c>
      <c r="B776" t="s">
        <v>1894</v>
      </c>
    </row>
    <row r="777" spans="1:2" x14ac:dyDescent="0.25">
      <c r="A777" t="s">
        <v>623</v>
      </c>
      <c r="B777" t="s">
        <v>2259</v>
      </c>
    </row>
    <row r="778" spans="1:2" x14ac:dyDescent="0.25">
      <c r="A778" t="s">
        <v>627</v>
      </c>
      <c r="B778" t="s">
        <v>2399</v>
      </c>
    </row>
    <row r="779" spans="1:2" x14ac:dyDescent="0.25">
      <c r="A779" t="s">
        <v>618</v>
      </c>
      <c r="B779" t="s">
        <v>2035</v>
      </c>
    </row>
    <row r="780" spans="1:2" x14ac:dyDescent="0.25">
      <c r="A780" t="s">
        <v>608</v>
      </c>
      <c r="B780" t="s">
        <v>730</v>
      </c>
    </row>
    <row r="781" spans="1:2" x14ac:dyDescent="0.25">
      <c r="A781" t="s">
        <v>1012</v>
      </c>
      <c r="B781" t="s">
        <v>730</v>
      </c>
    </row>
    <row r="782" spans="1:2" x14ac:dyDescent="0.25">
      <c r="A782" t="s">
        <v>608</v>
      </c>
      <c r="B782" t="s">
        <v>1477</v>
      </c>
    </row>
    <row r="783" spans="1:2" x14ac:dyDescent="0.25">
      <c r="A783" t="s">
        <v>608</v>
      </c>
      <c r="B783" t="s">
        <v>1474</v>
      </c>
    </row>
    <row r="784" spans="1:2" x14ac:dyDescent="0.25">
      <c r="A784" t="s">
        <v>608</v>
      </c>
      <c r="B784" t="s">
        <v>1475</v>
      </c>
    </row>
    <row r="785" spans="1:2" x14ac:dyDescent="0.25">
      <c r="A785" t="s">
        <v>608</v>
      </c>
      <c r="B785" t="s">
        <v>1502</v>
      </c>
    </row>
    <row r="786" spans="1:2" x14ac:dyDescent="0.25">
      <c r="A786" t="s">
        <v>608</v>
      </c>
      <c r="B786" t="s">
        <v>1481</v>
      </c>
    </row>
    <row r="787" spans="1:2" x14ac:dyDescent="0.25">
      <c r="A787" t="s">
        <v>1012</v>
      </c>
      <c r="B787" t="s">
        <v>1481</v>
      </c>
    </row>
    <row r="788" spans="1:2" x14ac:dyDescent="0.25">
      <c r="A788" t="s">
        <v>632</v>
      </c>
      <c r="B788" t="s">
        <v>1481</v>
      </c>
    </row>
    <row r="789" spans="1:2" x14ac:dyDescent="0.25">
      <c r="A789" t="s">
        <v>608</v>
      </c>
      <c r="B789" t="s">
        <v>1509</v>
      </c>
    </row>
    <row r="790" spans="1:2" x14ac:dyDescent="0.25">
      <c r="A790" t="s">
        <v>608</v>
      </c>
      <c r="B790" t="s">
        <v>1503</v>
      </c>
    </row>
    <row r="791" spans="1:2" x14ac:dyDescent="0.25">
      <c r="A791" t="s">
        <v>608</v>
      </c>
      <c r="B791" t="s">
        <v>1523</v>
      </c>
    </row>
    <row r="792" spans="1:2" x14ac:dyDescent="0.25">
      <c r="A792" t="s">
        <v>620</v>
      </c>
      <c r="B792" t="s">
        <v>2165</v>
      </c>
    </row>
    <row r="793" spans="1:2" x14ac:dyDescent="0.25">
      <c r="A793" t="s">
        <v>601</v>
      </c>
      <c r="B793" t="s">
        <v>1120</v>
      </c>
    </row>
    <row r="794" spans="1:2" x14ac:dyDescent="0.25">
      <c r="A794" t="s">
        <v>614</v>
      </c>
      <c r="B794" t="s">
        <v>1849</v>
      </c>
    </row>
    <row r="795" spans="1:2" x14ac:dyDescent="0.25">
      <c r="A795" t="s">
        <v>631</v>
      </c>
      <c r="B795" t="s">
        <v>1849</v>
      </c>
    </row>
    <row r="796" spans="1:2" x14ac:dyDescent="0.25">
      <c r="A796" t="s">
        <v>615</v>
      </c>
      <c r="B796" t="s">
        <v>1866</v>
      </c>
    </row>
    <row r="797" spans="1:2" x14ac:dyDescent="0.25">
      <c r="A797" t="s">
        <v>617</v>
      </c>
      <c r="B797" t="s">
        <v>1866</v>
      </c>
    </row>
    <row r="798" spans="1:2" x14ac:dyDescent="0.25">
      <c r="A798" t="s">
        <v>611</v>
      </c>
      <c r="B798" t="s">
        <v>1675</v>
      </c>
    </row>
    <row r="799" spans="1:2" x14ac:dyDescent="0.25">
      <c r="A799" t="s">
        <v>612</v>
      </c>
      <c r="B799" t="s">
        <v>1675</v>
      </c>
    </row>
    <row r="800" spans="1:2" x14ac:dyDescent="0.25">
      <c r="A800" t="s">
        <v>611</v>
      </c>
      <c r="B800" t="s">
        <v>84</v>
      </c>
    </row>
    <row r="801" spans="1:2" x14ac:dyDescent="0.25">
      <c r="A801" t="s">
        <v>612</v>
      </c>
      <c r="B801" t="s">
        <v>84</v>
      </c>
    </row>
    <row r="802" spans="1:2" x14ac:dyDescent="0.25">
      <c r="A802" t="s">
        <v>632</v>
      </c>
      <c r="B802" t="s">
        <v>2537</v>
      </c>
    </row>
    <row r="803" spans="1:2" x14ac:dyDescent="0.25">
      <c r="A803" t="s">
        <v>624</v>
      </c>
      <c r="B803" t="s">
        <v>2355</v>
      </c>
    </row>
    <row r="804" spans="1:2" x14ac:dyDescent="0.25">
      <c r="A804" t="s">
        <v>604</v>
      </c>
      <c r="B804" t="s">
        <v>1306</v>
      </c>
    </row>
    <row r="805" spans="1:2" x14ac:dyDescent="0.25">
      <c r="A805" t="s">
        <v>2808</v>
      </c>
      <c r="B805" t="s">
        <v>1306</v>
      </c>
    </row>
    <row r="806" spans="1:2" x14ac:dyDescent="0.25">
      <c r="A806" t="s">
        <v>624</v>
      </c>
      <c r="B806" t="s">
        <v>1306</v>
      </c>
    </row>
    <row r="807" spans="1:2" x14ac:dyDescent="0.25">
      <c r="A807" t="s">
        <v>605</v>
      </c>
      <c r="B807" t="s">
        <v>795</v>
      </c>
    </row>
    <row r="808" spans="1:2" x14ac:dyDescent="0.25">
      <c r="A808" t="s">
        <v>614</v>
      </c>
      <c r="B808" t="s">
        <v>795</v>
      </c>
    </row>
    <row r="809" spans="1:2" x14ac:dyDescent="0.25">
      <c r="A809" t="s">
        <v>606</v>
      </c>
      <c r="B809" t="s">
        <v>2738</v>
      </c>
    </row>
    <row r="810" spans="1:2" x14ac:dyDescent="0.25">
      <c r="A810" t="s">
        <v>603</v>
      </c>
      <c r="B810" t="s">
        <v>1223</v>
      </c>
    </row>
    <row r="811" spans="1:2" x14ac:dyDescent="0.25">
      <c r="A811" t="s">
        <v>618</v>
      </c>
      <c r="B811" t="s">
        <v>887</v>
      </c>
    </row>
    <row r="812" spans="1:2" x14ac:dyDescent="0.25">
      <c r="A812" t="s">
        <v>603</v>
      </c>
      <c r="B812" t="s">
        <v>1216</v>
      </c>
    </row>
    <row r="813" spans="1:2" x14ac:dyDescent="0.25">
      <c r="A813" t="s">
        <v>633</v>
      </c>
      <c r="B813" t="s">
        <v>2578</v>
      </c>
    </row>
    <row r="814" spans="1:2" x14ac:dyDescent="0.25">
      <c r="A814" t="s">
        <v>601</v>
      </c>
      <c r="B814" t="s">
        <v>1122</v>
      </c>
    </row>
    <row r="815" spans="1:2" x14ac:dyDescent="0.25">
      <c r="A815" t="s">
        <v>2808</v>
      </c>
      <c r="B815" t="s">
        <v>2323</v>
      </c>
    </row>
    <row r="816" spans="1:2" x14ac:dyDescent="0.25">
      <c r="A816" t="s">
        <v>627</v>
      </c>
      <c r="B816" t="s">
        <v>2323</v>
      </c>
    </row>
    <row r="817" spans="1:2" x14ac:dyDescent="0.25">
      <c r="A817" t="s">
        <v>629</v>
      </c>
      <c r="B817" t="s">
        <v>188</v>
      </c>
    </row>
    <row r="818" spans="1:2" x14ac:dyDescent="0.25">
      <c r="A818" t="s">
        <v>831</v>
      </c>
      <c r="B818" t="s">
        <v>892</v>
      </c>
    </row>
    <row r="819" spans="1:2" x14ac:dyDescent="0.25">
      <c r="A819" t="s">
        <v>620</v>
      </c>
      <c r="B819" t="s">
        <v>2189</v>
      </c>
    </row>
    <row r="820" spans="1:2" x14ac:dyDescent="0.25">
      <c r="A820" t="s">
        <v>1045</v>
      </c>
      <c r="B820" t="s">
        <v>2064</v>
      </c>
    </row>
    <row r="821" spans="1:2" x14ac:dyDescent="0.25">
      <c r="A821" t="s">
        <v>2616</v>
      </c>
      <c r="B821" t="s">
        <v>2454</v>
      </c>
    </row>
    <row r="822" spans="1:2" x14ac:dyDescent="0.25">
      <c r="A822" t="s">
        <v>630</v>
      </c>
      <c r="B822" t="s">
        <v>2454</v>
      </c>
    </row>
    <row r="823" spans="1:2" x14ac:dyDescent="0.25">
      <c r="A823" t="s">
        <v>603</v>
      </c>
      <c r="B823" t="s">
        <v>1209</v>
      </c>
    </row>
    <row r="824" spans="1:2" x14ac:dyDescent="0.25">
      <c r="A824" t="s">
        <v>613</v>
      </c>
      <c r="B824" t="s">
        <v>1816</v>
      </c>
    </row>
    <row r="825" spans="1:2" x14ac:dyDescent="0.25">
      <c r="A825" t="s">
        <v>609</v>
      </c>
      <c r="B825" t="s">
        <v>1566</v>
      </c>
    </row>
    <row r="826" spans="1:2" x14ac:dyDescent="0.25">
      <c r="A826" t="s">
        <v>1045</v>
      </c>
      <c r="B826" t="s">
        <v>2080</v>
      </c>
    </row>
    <row r="827" spans="1:2" x14ac:dyDescent="0.25">
      <c r="A827" t="s">
        <v>603</v>
      </c>
      <c r="B827" t="s">
        <v>1254</v>
      </c>
    </row>
    <row r="828" spans="1:2" x14ac:dyDescent="0.25">
      <c r="A828" t="s">
        <v>611</v>
      </c>
      <c r="B828" t="s">
        <v>1678</v>
      </c>
    </row>
    <row r="829" spans="1:2" x14ac:dyDescent="0.25">
      <c r="A829" t="s">
        <v>612</v>
      </c>
      <c r="B829" t="s">
        <v>1678</v>
      </c>
    </row>
    <row r="830" spans="1:2" x14ac:dyDescent="0.25">
      <c r="A830" t="s">
        <v>603</v>
      </c>
      <c r="B830" t="s">
        <v>1248</v>
      </c>
    </row>
    <row r="831" spans="1:2" x14ac:dyDescent="0.25">
      <c r="A831" t="s">
        <v>613</v>
      </c>
      <c r="B831" t="s">
        <v>1789</v>
      </c>
    </row>
    <row r="832" spans="1:2" x14ac:dyDescent="0.25">
      <c r="A832" t="s">
        <v>831</v>
      </c>
      <c r="B832" t="s">
        <v>1764</v>
      </c>
    </row>
    <row r="833" spans="1:2" x14ac:dyDescent="0.25">
      <c r="A833" t="s">
        <v>601</v>
      </c>
      <c r="B833" t="s">
        <v>1125</v>
      </c>
    </row>
    <row r="834" spans="1:2" x14ac:dyDescent="0.25">
      <c r="A834" t="s">
        <v>601</v>
      </c>
      <c r="B834" t="s">
        <v>17</v>
      </c>
    </row>
    <row r="835" spans="1:2" x14ac:dyDescent="0.25">
      <c r="A835" t="s">
        <v>611</v>
      </c>
      <c r="B835" t="s">
        <v>17</v>
      </c>
    </row>
    <row r="836" spans="1:2" x14ac:dyDescent="0.25">
      <c r="A836" t="s">
        <v>831</v>
      </c>
      <c r="B836" t="s">
        <v>17</v>
      </c>
    </row>
    <row r="837" spans="1:2" x14ac:dyDescent="0.25">
      <c r="A837" t="s">
        <v>630</v>
      </c>
      <c r="B837" t="s">
        <v>17</v>
      </c>
    </row>
    <row r="838" spans="1:2" x14ac:dyDescent="0.25">
      <c r="A838" t="s">
        <v>608</v>
      </c>
      <c r="B838" t="s">
        <v>920</v>
      </c>
    </row>
    <row r="839" spans="1:2" x14ac:dyDescent="0.25">
      <c r="A839" t="s">
        <v>635</v>
      </c>
      <c r="B839" t="s">
        <v>1980</v>
      </c>
    </row>
    <row r="840" spans="1:2" x14ac:dyDescent="0.25">
      <c r="A840" t="s">
        <v>953</v>
      </c>
      <c r="B840" t="s">
        <v>2730</v>
      </c>
    </row>
    <row r="841" spans="1:2" x14ac:dyDescent="0.25">
      <c r="A841" t="s">
        <v>628</v>
      </c>
      <c r="B841" t="s">
        <v>2410</v>
      </c>
    </row>
    <row r="842" spans="1:2" x14ac:dyDescent="0.25">
      <c r="A842" t="s">
        <v>627</v>
      </c>
      <c r="B842" t="s">
        <v>2394</v>
      </c>
    </row>
    <row r="843" spans="1:2" x14ac:dyDescent="0.25">
      <c r="A843" t="s">
        <v>635</v>
      </c>
      <c r="B843" t="s">
        <v>1988</v>
      </c>
    </row>
    <row r="844" spans="1:2" x14ac:dyDescent="0.25">
      <c r="A844" t="s">
        <v>618</v>
      </c>
      <c r="B844" t="s">
        <v>1003</v>
      </c>
    </row>
    <row r="845" spans="1:2" x14ac:dyDescent="0.25">
      <c r="A845" t="s">
        <v>915</v>
      </c>
      <c r="B845" t="s">
        <v>1003</v>
      </c>
    </row>
    <row r="846" spans="1:2" x14ac:dyDescent="0.25">
      <c r="A846" t="s">
        <v>607</v>
      </c>
      <c r="B846" t="s">
        <v>680</v>
      </c>
    </row>
    <row r="847" spans="1:2" x14ac:dyDescent="0.25">
      <c r="A847" t="s">
        <v>610</v>
      </c>
      <c r="B847" t="s">
        <v>680</v>
      </c>
    </row>
    <row r="848" spans="1:2" x14ac:dyDescent="0.25">
      <c r="A848" t="s">
        <v>613</v>
      </c>
      <c r="B848" t="s">
        <v>680</v>
      </c>
    </row>
    <row r="849" spans="1:2" x14ac:dyDescent="0.25">
      <c r="A849" t="s">
        <v>635</v>
      </c>
      <c r="B849" t="s">
        <v>680</v>
      </c>
    </row>
    <row r="850" spans="1:2" x14ac:dyDescent="0.25">
      <c r="A850" t="s">
        <v>619</v>
      </c>
      <c r="B850" t="s">
        <v>680</v>
      </c>
    </row>
    <row r="851" spans="1:2" x14ac:dyDescent="0.25">
      <c r="A851" t="s">
        <v>2808</v>
      </c>
      <c r="B851" t="s">
        <v>680</v>
      </c>
    </row>
    <row r="852" spans="1:2" x14ac:dyDescent="0.25">
      <c r="A852" t="s">
        <v>631</v>
      </c>
      <c r="B852" t="s">
        <v>680</v>
      </c>
    </row>
    <row r="853" spans="1:2" x14ac:dyDescent="0.25">
      <c r="A853" t="s">
        <v>610</v>
      </c>
      <c r="B853" t="s">
        <v>1659</v>
      </c>
    </row>
    <row r="854" spans="1:2" x14ac:dyDescent="0.25">
      <c r="A854" t="s">
        <v>831</v>
      </c>
      <c r="B854" t="s">
        <v>1753</v>
      </c>
    </row>
    <row r="855" spans="1:2" x14ac:dyDescent="0.25">
      <c r="A855" t="s">
        <v>601</v>
      </c>
      <c r="B855" t="s">
        <v>946</v>
      </c>
    </row>
    <row r="856" spans="1:2" x14ac:dyDescent="0.25">
      <c r="A856" t="s">
        <v>602</v>
      </c>
      <c r="B856" t="s">
        <v>946</v>
      </c>
    </row>
    <row r="857" spans="1:2" x14ac:dyDescent="0.25">
      <c r="A857" t="s">
        <v>603</v>
      </c>
      <c r="B857" t="s">
        <v>946</v>
      </c>
    </row>
    <row r="858" spans="1:2" x14ac:dyDescent="0.25">
      <c r="A858" t="s">
        <v>604</v>
      </c>
      <c r="B858" t="s">
        <v>946</v>
      </c>
    </row>
    <row r="859" spans="1:2" x14ac:dyDescent="0.25">
      <c r="A859" t="s">
        <v>605</v>
      </c>
      <c r="B859" t="s">
        <v>946</v>
      </c>
    </row>
    <row r="860" spans="1:2" x14ac:dyDescent="0.25">
      <c r="A860" t="s">
        <v>606</v>
      </c>
      <c r="B860" t="s">
        <v>946</v>
      </c>
    </row>
    <row r="861" spans="1:2" x14ac:dyDescent="0.25">
      <c r="A861" t="s">
        <v>607</v>
      </c>
      <c r="B861" t="s">
        <v>946</v>
      </c>
    </row>
    <row r="862" spans="1:2" x14ac:dyDescent="0.25">
      <c r="A862" t="s">
        <v>608</v>
      </c>
      <c r="B862" t="s">
        <v>946</v>
      </c>
    </row>
    <row r="863" spans="1:2" x14ac:dyDescent="0.25">
      <c r="A863" t="s">
        <v>609</v>
      </c>
      <c r="B863" t="s">
        <v>946</v>
      </c>
    </row>
    <row r="864" spans="1:2" x14ac:dyDescent="0.25">
      <c r="A864" t="s">
        <v>610</v>
      </c>
      <c r="B864" t="s">
        <v>946</v>
      </c>
    </row>
    <row r="865" spans="1:2" x14ac:dyDescent="0.25">
      <c r="A865" t="s">
        <v>831</v>
      </c>
      <c r="B865" t="s">
        <v>946</v>
      </c>
    </row>
    <row r="866" spans="1:2" x14ac:dyDescent="0.25">
      <c r="A866" t="s">
        <v>613</v>
      </c>
      <c r="B866" t="s">
        <v>946</v>
      </c>
    </row>
    <row r="867" spans="1:2" x14ac:dyDescent="0.25">
      <c r="A867" t="s">
        <v>614</v>
      </c>
      <c r="B867" t="s">
        <v>946</v>
      </c>
    </row>
    <row r="868" spans="1:2" x14ac:dyDescent="0.25">
      <c r="A868" t="s">
        <v>616</v>
      </c>
      <c r="B868" t="s">
        <v>946</v>
      </c>
    </row>
    <row r="869" spans="1:2" x14ac:dyDescent="0.25">
      <c r="A869" t="s">
        <v>635</v>
      </c>
      <c r="B869" t="s">
        <v>946</v>
      </c>
    </row>
    <row r="870" spans="1:2" x14ac:dyDescent="0.25">
      <c r="A870" t="s">
        <v>617</v>
      </c>
      <c r="B870" t="s">
        <v>946</v>
      </c>
    </row>
    <row r="871" spans="1:2" x14ac:dyDescent="0.25">
      <c r="A871" t="s">
        <v>618</v>
      </c>
      <c r="B871" t="s">
        <v>946</v>
      </c>
    </row>
    <row r="872" spans="1:2" x14ac:dyDescent="0.25">
      <c r="A872" t="s">
        <v>619</v>
      </c>
      <c r="B872" t="s">
        <v>946</v>
      </c>
    </row>
    <row r="873" spans="1:2" x14ac:dyDescent="0.25">
      <c r="A873" t="s">
        <v>915</v>
      </c>
      <c r="B873" t="s">
        <v>946</v>
      </c>
    </row>
    <row r="874" spans="1:2" x14ac:dyDescent="0.25">
      <c r="A874" t="s">
        <v>620</v>
      </c>
      <c r="B874" t="s">
        <v>946</v>
      </c>
    </row>
    <row r="875" spans="1:2" x14ac:dyDescent="0.25">
      <c r="A875" t="s">
        <v>623</v>
      </c>
      <c r="B875" t="s">
        <v>946</v>
      </c>
    </row>
    <row r="876" spans="1:2" x14ac:dyDescent="0.25">
      <c r="A876" t="s">
        <v>2808</v>
      </c>
      <c r="B876" t="s">
        <v>946</v>
      </c>
    </row>
    <row r="877" spans="1:2" x14ac:dyDescent="0.25">
      <c r="A877" t="s">
        <v>624</v>
      </c>
      <c r="B877" t="s">
        <v>946</v>
      </c>
    </row>
    <row r="878" spans="1:2" x14ac:dyDescent="0.25">
      <c r="A878" t="s">
        <v>627</v>
      </c>
      <c r="B878" t="s">
        <v>946</v>
      </c>
    </row>
    <row r="879" spans="1:2" x14ac:dyDescent="0.25">
      <c r="A879" t="s">
        <v>628</v>
      </c>
      <c r="B879" t="s">
        <v>946</v>
      </c>
    </row>
    <row r="880" spans="1:2" x14ac:dyDescent="0.25">
      <c r="A880" t="s">
        <v>629</v>
      </c>
      <c r="B880" t="s">
        <v>946</v>
      </c>
    </row>
    <row r="881" spans="1:2" x14ac:dyDescent="0.25">
      <c r="A881" t="s">
        <v>631</v>
      </c>
      <c r="B881" t="s">
        <v>946</v>
      </c>
    </row>
    <row r="882" spans="1:2" x14ac:dyDescent="0.25">
      <c r="A882" t="s">
        <v>632</v>
      </c>
      <c r="B882" t="s">
        <v>946</v>
      </c>
    </row>
    <row r="883" spans="1:2" x14ac:dyDescent="0.25">
      <c r="A883" t="s">
        <v>633</v>
      </c>
      <c r="B883" t="s">
        <v>946</v>
      </c>
    </row>
    <row r="884" spans="1:2" x14ac:dyDescent="0.25">
      <c r="A884" t="s">
        <v>1012</v>
      </c>
      <c r="B884" t="s">
        <v>1024</v>
      </c>
    </row>
    <row r="885" spans="1:2" x14ac:dyDescent="0.25">
      <c r="A885" t="s">
        <v>602</v>
      </c>
      <c r="B885" t="s">
        <v>1202</v>
      </c>
    </row>
    <row r="886" spans="1:2" x14ac:dyDescent="0.25">
      <c r="A886" t="s">
        <v>615</v>
      </c>
      <c r="B886" t="s">
        <v>1881</v>
      </c>
    </row>
    <row r="887" spans="1:2" x14ac:dyDescent="0.25">
      <c r="A887" t="s">
        <v>607</v>
      </c>
      <c r="B887" t="s">
        <v>1461</v>
      </c>
    </row>
    <row r="888" spans="1:2" x14ac:dyDescent="0.25">
      <c r="A888" t="s">
        <v>620</v>
      </c>
      <c r="B888" t="s">
        <v>2177</v>
      </c>
    </row>
    <row r="889" spans="1:2" x14ac:dyDescent="0.25">
      <c r="A889" t="s">
        <v>608</v>
      </c>
      <c r="B889" t="s">
        <v>1496</v>
      </c>
    </row>
    <row r="890" spans="1:2" x14ac:dyDescent="0.25">
      <c r="A890" t="s">
        <v>603</v>
      </c>
      <c r="B890" t="s">
        <v>121</v>
      </c>
    </row>
    <row r="891" spans="1:2" x14ac:dyDescent="0.25">
      <c r="A891" t="s">
        <v>607</v>
      </c>
      <c r="B891" t="s">
        <v>121</v>
      </c>
    </row>
    <row r="892" spans="1:2" x14ac:dyDescent="0.25">
      <c r="A892" t="s">
        <v>635</v>
      </c>
      <c r="B892" t="s">
        <v>121</v>
      </c>
    </row>
    <row r="893" spans="1:2" x14ac:dyDescent="0.25">
      <c r="A893" t="s">
        <v>619</v>
      </c>
      <c r="B893" t="s">
        <v>121</v>
      </c>
    </row>
    <row r="894" spans="1:2" x14ac:dyDescent="0.25">
      <c r="A894" t="s">
        <v>627</v>
      </c>
      <c r="B894" t="s">
        <v>121</v>
      </c>
    </row>
    <row r="895" spans="1:2" x14ac:dyDescent="0.25">
      <c r="A895" t="s">
        <v>628</v>
      </c>
      <c r="B895" t="s">
        <v>121</v>
      </c>
    </row>
    <row r="896" spans="1:2" x14ac:dyDescent="0.25">
      <c r="A896" t="s">
        <v>617</v>
      </c>
      <c r="B896" t="s">
        <v>2021</v>
      </c>
    </row>
    <row r="897" spans="1:2" x14ac:dyDescent="0.25">
      <c r="A897" t="s">
        <v>608</v>
      </c>
      <c r="B897" t="s">
        <v>1517</v>
      </c>
    </row>
    <row r="898" spans="1:2" x14ac:dyDescent="0.25">
      <c r="A898" t="s">
        <v>630</v>
      </c>
      <c r="B898" t="s">
        <v>2468</v>
      </c>
    </row>
    <row r="899" spans="1:2" x14ac:dyDescent="0.25">
      <c r="A899" t="s">
        <v>635</v>
      </c>
      <c r="B899" t="s">
        <v>1990</v>
      </c>
    </row>
    <row r="900" spans="1:2" x14ac:dyDescent="0.25">
      <c r="A900" t="s">
        <v>616</v>
      </c>
      <c r="B900" t="s">
        <v>1911</v>
      </c>
    </row>
    <row r="901" spans="1:2" x14ac:dyDescent="0.25">
      <c r="A901" t="s">
        <v>622</v>
      </c>
      <c r="B901" t="s">
        <v>1911</v>
      </c>
    </row>
    <row r="902" spans="1:2" x14ac:dyDescent="0.25">
      <c r="A902" t="s">
        <v>2808</v>
      </c>
      <c r="B902" t="s">
        <v>2809</v>
      </c>
    </row>
    <row r="903" spans="1:2" x14ac:dyDescent="0.25">
      <c r="A903" t="s">
        <v>831</v>
      </c>
      <c r="B903" t="s">
        <v>1774</v>
      </c>
    </row>
    <row r="904" spans="1:2" x14ac:dyDescent="0.25">
      <c r="A904" t="s">
        <v>630</v>
      </c>
      <c r="B904" t="s">
        <v>1774</v>
      </c>
    </row>
    <row r="905" spans="1:2" x14ac:dyDescent="0.25">
      <c r="A905" t="s">
        <v>618</v>
      </c>
      <c r="B905" t="s">
        <v>2038</v>
      </c>
    </row>
    <row r="906" spans="1:2" x14ac:dyDescent="0.25">
      <c r="A906" t="s">
        <v>613</v>
      </c>
      <c r="B906" t="s">
        <v>1787</v>
      </c>
    </row>
    <row r="907" spans="1:2" x14ac:dyDescent="0.25">
      <c r="A907" t="s">
        <v>605</v>
      </c>
      <c r="B907" t="s">
        <v>1352</v>
      </c>
    </row>
    <row r="908" spans="1:2" x14ac:dyDescent="0.25">
      <c r="A908" t="s">
        <v>604</v>
      </c>
      <c r="B908" t="s">
        <v>924</v>
      </c>
    </row>
    <row r="909" spans="1:2" x14ac:dyDescent="0.25">
      <c r="A909" t="s">
        <v>635</v>
      </c>
      <c r="B909" t="s">
        <v>924</v>
      </c>
    </row>
    <row r="910" spans="1:2" x14ac:dyDescent="0.25">
      <c r="A910" t="s">
        <v>915</v>
      </c>
      <c r="B910" t="s">
        <v>924</v>
      </c>
    </row>
    <row r="911" spans="1:2" x14ac:dyDescent="0.25">
      <c r="A911" t="s">
        <v>632</v>
      </c>
      <c r="B911" t="s">
        <v>924</v>
      </c>
    </row>
    <row r="912" spans="1:2" x14ac:dyDescent="0.25">
      <c r="A912" t="s">
        <v>620</v>
      </c>
      <c r="B912" t="s">
        <v>2184</v>
      </c>
    </row>
    <row r="913" spans="1:2" x14ac:dyDescent="0.25">
      <c r="A913" t="s">
        <v>608</v>
      </c>
      <c r="B913" t="s">
        <v>1498</v>
      </c>
    </row>
    <row r="914" spans="1:2" x14ac:dyDescent="0.25">
      <c r="A914" t="s">
        <v>1012</v>
      </c>
      <c r="B914" t="s">
        <v>1021</v>
      </c>
    </row>
    <row r="915" spans="1:2" x14ac:dyDescent="0.25">
      <c r="A915" t="s">
        <v>915</v>
      </c>
      <c r="B915" t="s">
        <v>931</v>
      </c>
    </row>
    <row r="916" spans="1:2" x14ac:dyDescent="0.25">
      <c r="A916" t="s">
        <v>1012</v>
      </c>
      <c r="B916" t="s">
        <v>1027</v>
      </c>
    </row>
    <row r="917" spans="1:2" x14ac:dyDescent="0.25">
      <c r="A917" t="s">
        <v>603</v>
      </c>
      <c r="B917" t="s">
        <v>799</v>
      </c>
    </row>
    <row r="918" spans="1:2" x14ac:dyDescent="0.25">
      <c r="A918" t="s">
        <v>606</v>
      </c>
      <c r="B918" t="s">
        <v>799</v>
      </c>
    </row>
    <row r="919" spans="1:2" x14ac:dyDescent="0.25">
      <c r="A919" t="s">
        <v>616</v>
      </c>
      <c r="B919" t="s">
        <v>799</v>
      </c>
    </row>
    <row r="920" spans="1:2" x14ac:dyDescent="0.25">
      <c r="A920" t="s">
        <v>1012</v>
      </c>
      <c r="B920" t="s">
        <v>799</v>
      </c>
    </row>
    <row r="921" spans="1:2" x14ac:dyDescent="0.25">
      <c r="A921" t="s">
        <v>620</v>
      </c>
      <c r="B921" t="s">
        <v>799</v>
      </c>
    </row>
    <row r="922" spans="1:2" x14ac:dyDescent="0.25">
      <c r="A922" t="s">
        <v>624</v>
      </c>
      <c r="B922" t="s">
        <v>799</v>
      </c>
    </row>
    <row r="923" spans="1:2" x14ac:dyDescent="0.25">
      <c r="A923" t="s">
        <v>628</v>
      </c>
      <c r="B923" t="s">
        <v>799</v>
      </c>
    </row>
    <row r="924" spans="1:2" x14ac:dyDescent="0.25">
      <c r="A924" t="s">
        <v>1045</v>
      </c>
      <c r="B924" t="s">
        <v>1073</v>
      </c>
    </row>
    <row r="925" spans="1:2" x14ac:dyDescent="0.25">
      <c r="A925" t="s">
        <v>635</v>
      </c>
      <c r="B925" t="s">
        <v>1952</v>
      </c>
    </row>
    <row r="926" spans="1:2" x14ac:dyDescent="0.25">
      <c r="A926" t="s">
        <v>617</v>
      </c>
      <c r="B926" t="s">
        <v>1999</v>
      </c>
    </row>
    <row r="927" spans="1:2" x14ac:dyDescent="0.25">
      <c r="A927" t="s">
        <v>632</v>
      </c>
      <c r="B927" t="s">
        <v>1013</v>
      </c>
    </row>
    <row r="928" spans="1:2" x14ac:dyDescent="0.25">
      <c r="A928" t="s">
        <v>2616</v>
      </c>
      <c r="B928" t="s">
        <v>2563</v>
      </c>
    </row>
    <row r="929" spans="1:2" x14ac:dyDescent="0.25">
      <c r="A929" t="s">
        <v>613</v>
      </c>
      <c r="B929" t="s">
        <v>2747</v>
      </c>
    </row>
    <row r="930" spans="1:2" x14ac:dyDescent="0.25">
      <c r="A930" t="s">
        <v>602</v>
      </c>
      <c r="B930" t="s">
        <v>1171</v>
      </c>
    </row>
    <row r="931" spans="1:2" x14ac:dyDescent="0.25">
      <c r="A931" t="s">
        <v>615</v>
      </c>
      <c r="B931" t="s">
        <v>1890</v>
      </c>
    </row>
    <row r="932" spans="1:2" x14ac:dyDescent="0.25">
      <c r="A932" t="s">
        <v>831</v>
      </c>
      <c r="B932" t="s">
        <v>1780</v>
      </c>
    </row>
    <row r="933" spans="1:2" x14ac:dyDescent="0.25">
      <c r="A933" t="s">
        <v>633</v>
      </c>
      <c r="B933" t="s">
        <v>2554</v>
      </c>
    </row>
    <row r="934" spans="1:2" x14ac:dyDescent="0.25">
      <c r="A934" t="s">
        <v>602</v>
      </c>
      <c r="B934" t="s">
        <v>1173</v>
      </c>
    </row>
    <row r="935" spans="1:2" x14ac:dyDescent="0.25">
      <c r="A935" t="s">
        <v>614</v>
      </c>
      <c r="B935" t="s">
        <v>1173</v>
      </c>
    </row>
    <row r="936" spans="1:2" x14ac:dyDescent="0.25">
      <c r="A936" t="s">
        <v>616</v>
      </c>
      <c r="B936" t="s">
        <v>1173</v>
      </c>
    </row>
    <row r="937" spans="1:2" x14ac:dyDescent="0.25">
      <c r="A937" t="s">
        <v>620</v>
      </c>
      <c r="B937" t="s">
        <v>1173</v>
      </c>
    </row>
    <row r="938" spans="1:2" x14ac:dyDescent="0.25">
      <c r="A938" t="s">
        <v>602</v>
      </c>
      <c r="B938" t="s">
        <v>1176</v>
      </c>
    </row>
    <row r="939" spans="1:2" x14ac:dyDescent="0.25">
      <c r="A939" t="s">
        <v>607</v>
      </c>
      <c r="B939" t="s">
        <v>2745</v>
      </c>
    </row>
    <row r="940" spans="1:2" x14ac:dyDescent="0.25">
      <c r="A940" t="s">
        <v>1012</v>
      </c>
      <c r="B940" t="s">
        <v>2721</v>
      </c>
    </row>
    <row r="941" spans="1:2" x14ac:dyDescent="0.25">
      <c r="A941" t="s">
        <v>622</v>
      </c>
      <c r="B941" t="s">
        <v>2208</v>
      </c>
    </row>
    <row r="942" spans="1:2" x14ac:dyDescent="0.25">
      <c r="A942" t="s">
        <v>613</v>
      </c>
      <c r="B942" t="s">
        <v>1799</v>
      </c>
    </row>
    <row r="943" spans="1:2" x14ac:dyDescent="0.25">
      <c r="A943" t="s">
        <v>629</v>
      </c>
      <c r="B943" t="s">
        <v>2439</v>
      </c>
    </row>
    <row r="944" spans="1:2" x14ac:dyDescent="0.25">
      <c r="A944" t="s">
        <v>613</v>
      </c>
      <c r="B944" t="s">
        <v>1817</v>
      </c>
    </row>
    <row r="945" spans="1:2" x14ac:dyDescent="0.25">
      <c r="A945" t="s">
        <v>831</v>
      </c>
      <c r="B945" t="s">
        <v>1773</v>
      </c>
    </row>
    <row r="946" spans="1:2" x14ac:dyDescent="0.25">
      <c r="A946" t="s">
        <v>630</v>
      </c>
      <c r="B946" t="s">
        <v>1773</v>
      </c>
    </row>
    <row r="947" spans="1:2" x14ac:dyDescent="0.25">
      <c r="A947" t="s">
        <v>831</v>
      </c>
      <c r="B947" t="s">
        <v>1735</v>
      </c>
    </row>
    <row r="948" spans="1:2" x14ac:dyDescent="0.25">
      <c r="A948" t="s">
        <v>609</v>
      </c>
      <c r="B948" t="s">
        <v>1537</v>
      </c>
    </row>
    <row r="949" spans="1:2" x14ac:dyDescent="0.25">
      <c r="A949" t="s">
        <v>628</v>
      </c>
      <c r="B949" t="s">
        <v>1537</v>
      </c>
    </row>
    <row r="950" spans="1:2" x14ac:dyDescent="0.25">
      <c r="A950" t="s">
        <v>632</v>
      </c>
      <c r="B950" t="s">
        <v>1537</v>
      </c>
    </row>
    <row r="951" spans="1:2" x14ac:dyDescent="0.25">
      <c r="A951" t="s">
        <v>635</v>
      </c>
      <c r="B951" t="s">
        <v>1994</v>
      </c>
    </row>
    <row r="952" spans="1:2" x14ac:dyDescent="0.25">
      <c r="A952" t="s">
        <v>622</v>
      </c>
      <c r="B952" t="s">
        <v>2717</v>
      </c>
    </row>
    <row r="953" spans="1:2" x14ac:dyDescent="0.25">
      <c r="A953" t="s">
        <v>623</v>
      </c>
      <c r="B953" t="s">
        <v>2283</v>
      </c>
    </row>
    <row r="954" spans="1:2" x14ac:dyDescent="0.25">
      <c r="A954" t="s">
        <v>613</v>
      </c>
      <c r="B954" t="s">
        <v>1813</v>
      </c>
    </row>
    <row r="955" spans="1:2" x14ac:dyDescent="0.25">
      <c r="A955" t="s">
        <v>622</v>
      </c>
      <c r="B955" t="s">
        <v>2230</v>
      </c>
    </row>
    <row r="956" spans="1:2" x14ac:dyDescent="0.25">
      <c r="A956" t="s">
        <v>630</v>
      </c>
      <c r="B956" t="s">
        <v>2470</v>
      </c>
    </row>
    <row r="957" spans="1:2" x14ac:dyDescent="0.25">
      <c r="A957" t="s">
        <v>605</v>
      </c>
      <c r="B957" t="s">
        <v>1062</v>
      </c>
    </row>
    <row r="958" spans="1:2" x14ac:dyDescent="0.25">
      <c r="A958" t="s">
        <v>622</v>
      </c>
      <c r="B958" t="s">
        <v>2227</v>
      </c>
    </row>
    <row r="959" spans="1:2" x14ac:dyDescent="0.25">
      <c r="A959" t="s">
        <v>2616</v>
      </c>
      <c r="B959" t="s">
        <v>2657</v>
      </c>
    </row>
    <row r="960" spans="1:2" x14ac:dyDescent="0.25">
      <c r="A960" t="s">
        <v>608</v>
      </c>
      <c r="B960" t="s">
        <v>2716</v>
      </c>
    </row>
    <row r="961" spans="1:2" x14ac:dyDescent="0.25">
      <c r="A961" t="s">
        <v>831</v>
      </c>
      <c r="B961" t="s">
        <v>1734</v>
      </c>
    </row>
    <row r="962" spans="1:2" x14ac:dyDescent="0.25">
      <c r="A962" t="s">
        <v>606</v>
      </c>
      <c r="B962" t="s">
        <v>2342</v>
      </c>
    </row>
    <row r="963" spans="1:2" x14ac:dyDescent="0.25">
      <c r="A963" t="s">
        <v>624</v>
      </c>
      <c r="B963" t="s">
        <v>2342</v>
      </c>
    </row>
    <row r="964" spans="1:2" x14ac:dyDescent="0.25">
      <c r="A964" t="s">
        <v>619</v>
      </c>
      <c r="B964" t="s">
        <v>2092</v>
      </c>
    </row>
    <row r="965" spans="1:2" x14ac:dyDescent="0.25">
      <c r="A965" t="s">
        <v>602</v>
      </c>
      <c r="B965" t="s">
        <v>1160</v>
      </c>
    </row>
    <row r="966" spans="1:2" x14ac:dyDescent="0.25">
      <c r="A966" t="s">
        <v>602</v>
      </c>
      <c r="B966" t="s">
        <v>1172</v>
      </c>
    </row>
    <row r="967" spans="1:2" x14ac:dyDescent="0.25">
      <c r="A967" t="s">
        <v>622</v>
      </c>
      <c r="B967" t="s">
        <v>2198</v>
      </c>
    </row>
    <row r="968" spans="1:2" x14ac:dyDescent="0.25">
      <c r="A968" t="s">
        <v>615</v>
      </c>
      <c r="B968" t="s">
        <v>1852</v>
      </c>
    </row>
    <row r="969" spans="1:2" x14ac:dyDescent="0.25">
      <c r="A969" t="s">
        <v>616</v>
      </c>
      <c r="B969" t="s">
        <v>1926</v>
      </c>
    </row>
    <row r="970" spans="1:2" x14ac:dyDescent="0.25">
      <c r="A970" t="s">
        <v>616</v>
      </c>
      <c r="B970" t="s">
        <v>1912</v>
      </c>
    </row>
    <row r="971" spans="1:2" x14ac:dyDescent="0.25">
      <c r="A971" t="s">
        <v>622</v>
      </c>
      <c r="B971" t="s">
        <v>1912</v>
      </c>
    </row>
    <row r="972" spans="1:2" x14ac:dyDescent="0.25">
      <c r="A972" t="s">
        <v>632</v>
      </c>
      <c r="B972" t="s">
        <v>2546</v>
      </c>
    </row>
    <row r="973" spans="1:2" x14ac:dyDescent="0.25">
      <c r="A973" t="s">
        <v>623</v>
      </c>
      <c r="B973" t="s">
        <v>166</v>
      </c>
    </row>
    <row r="974" spans="1:2" x14ac:dyDescent="0.25">
      <c r="A974" t="s">
        <v>623</v>
      </c>
      <c r="B974" t="s">
        <v>2250</v>
      </c>
    </row>
    <row r="975" spans="1:2" x14ac:dyDescent="0.25">
      <c r="A975" t="s">
        <v>606</v>
      </c>
      <c r="B975" t="s">
        <v>1382</v>
      </c>
    </row>
    <row r="976" spans="1:2" x14ac:dyDescent="0.25">
      <c r="A976" t="s">
        <v>619</v>
      </c>
      <c r="B976" t="s">
        <v>1382</v>
      </c>
    </row>
    <row r="977" spans="1:2" x14ac:dyDescent="0.25">
      <c r="A977" t="s">
        <v>603</v>
      </c>
      <c r="B977" t="s">
        <v>1231</v>
      </c>
    </row>
    <row r="978" spans="1:2" x14ac:dyDescent="0.25">
      <c r="A978" t="s">
        <v>616</v>
      </c>
      <c r="B978" t="s">
        <v>1936</v>
      </c>
    </row>
    <row r="979" spans="1:2" x14ac:dyDescent="0.25">
      <c r="A979" t="s">
        <v>602</v>
      </c>
      <c r="B979" t="s">
        <v>767</v>
      </c>
    </row>
    <row r="980" spans="1:2" x14ac:dyDescent="0.25">
      <c r="A980" t="s">
        <v>953</v>
      </c>
      <c r="B980" t="s">
        <v>767</v>
      </c>
    </row>
    <row r="981" spans="1:2" x14ac:dyDescent="0.25">
      <c r="A981" t="s">
        <v>631</v>
      </c>
      <c r="B981" t="s">
        <v>767</v>
      </c>
    </row>
    <row r="982" spans="1:2" x14ac:dyDescent="0.25">
      <c r="A982" t="s">
        <v>915</v>
      </c>
      <c r="B982" t="s">
        <v>2146</v>
      </c>
    </row>
    <row r="983" spans="1:2" x14ac:dyDescent="0.25">
      <c r="A983" t="s">
        <v>915</v>
      </c>
      <c r="B983" t="s">
        <v>2154</v>
      </c>
    </row>
    <row r="984" spans="1:2" x14ac:dyDescent="0.25">
      <c r="A984" t="s">
        <v>611</v>
      </c>
      <c r="B984" t="s">
        <v>1695</v>
      </c>
    </row>
    <row r="985" spans="1:2" x14ac:dyDescent="0.25">
      <c r="A985" t="s">
        <v>612</v>
      </c>
      <c r="B985" t="s">
        <v>1695</v>
      </c>
    </row>
    <row r="986" spans="1:2" x14ac:dyDescent="0.25">
      <c r="A986" t="s">
        <v>608</v>
      </c>
      <c r="B986" t="s">
        <v>826</v>
      </c>
    </row>
    <row r="987" spans="1:2" x14ac:dyDescent="0.25">
      <c r="A987" t="s">
        <v>1012</v>
      </c>
      <c r="B987" t="s">
        <v>826</v>
      </c>
    </row>
    <row r="988" spans="1:2" x14ac:dyDescent="0.25">
      <c r="A988" t="s">
        <v>632</v>
      </c>
      <c r="B988" t="s">
        <v>826</v>
      </c>
    </row>
    <row r="989" spans="1:2" x14ac:dyDescent="0.25">
      <c r="A989" t="s">
        <v>605</v>
      </c>
      <c r="B989" t="s">
        <v>1107</v>
      </c>
    </row>
    <row r="990" spans="1:2" x14ac:dyDescent="0.25">
      <c r="A990" t="s">
        <v>1045</v>
      </c>
      <c r="B990" t="s">
        <v>1107</v>
      </c>
    </row>
    <row r="991" spans="1:2" x14ac:dyDescent="0.25">
      <c r="A991" t="s">
        <v>624</v>
      </c>
      <c r="B991" t="s">
        <v>2343</v>
      </c>
    </row>
    <row r="992" spans="1:2" x14ac:dyDescent="0.25">
      <c r="A992" t="s">
        <v>609</v>
      </c>
      <c r="B992" t="s">
        <v>1580</v>
      </c>
    </row>
    <row r="993" spans="1:2" x14ac:dyDescent="0.25">
      <c r="A993" t="s">
        <v>619</v>
      </c>
      <c r="B993" t="s">
        <v>2133</v>
      </c>
    </row>
    <row r="994" spans="1:2" x14ac:dyDescent="0.25">
      <c r="A994" t="s">
        <v>620</v>
      </c>
      <c r="B994" t="s">
        <v>157</v>
      </c>
    </row>
    <row r="995" spans="1:2" x14ac:dyDescent="0.25">
      <c r="A995" t="s">
        <v>601</v>
      </c>
      <c r="B995" t="s">
        <v>792</v>
      </c>
    </row>
    <row r="996" spans="1:2" x14ac:dyDescent="0.25">
      <c r="A996" t="s">
        <v>628</v>
      </c>
      <c r="B996" t="s">
        <v>792</v>
      </c>
    </row>
    <row r="997" spans="1:2" x14ac:dyDescent="0.25">
      <c r="A997" t="s">
        <v>614</v>
      </c>
      <c r="B997" t="s">
        <v>1823</v>
      </c>
    </row>
    <row r="998" spans="1:2" x14ac:dyDescent="0.25">
      <c r="A998" t="s">
        <v>623</v>
      </c>
      <c r="B998" t="s">
        <v>2270</v>
      </c>
    </row>
    <row r="999" spans="1:2" x14ac:dyDescent="0.25">
      <c r="A999" t="s">
        <v>2616</v>
      </c>
      <c r="B999" t="s">
        <v>2658</v>
      </c>
    </row>
    <row r="1000" spans="1:2" x14ac:dyDescent="0.25">
      <c r="A1000" t="s">
        <v>610</v>
      </c>
      <c r="B1000" t="s">
        <v>1635</v>
      </c>
    </row>
    <row r="1001" spans="1:2" x14ac:dyDescent="0.25">
      <c r="A1001" t="s">
        <v>2808</v>
      </c>
      <c r="B1001" t="s">
        <v>2295</v>
      </c>
    </row>
    <row r="1002" spans="1:2" x14ac:dyDescent="0.25">
      <c r="A1002" t="s">
        <v>953</v>
      </c>
      <c r="B1002" t="s">
        <v>971</v>
      </c>
    </row>
    <row r="1003" spans="1:2" x14ac:dyDescent="0.25">
      <c r="A1003" t="s">
        <v>619</v>
      </c>
      <c r="B1003" t="s">
        <v>2113</v>
      </c>
    </row>
    <row r="1004" spans="1:2" x14ac:dyDescent="0.25">
      <c r="A1004" t="s">
        <v>609</v>
      </c>
      <c r="B1004" t="s">
        <v>1557</v>
      </c>
    </row>
    <row r="1005" spans="1:2" x14ac:dyDescent="0.25">
      <c r="A1005" t="s">
        <v>953</v>
      </c>
      <c r="B1005" t="s">
        <v>978</v>
      </c>
    </row>
    <row r="1006" spans="1:2" x14ac:dyDescent="0.25">
      <c r="A1006" t="s">
        <v>604</v>
      </c>
      <c r="B1006" t="s">
        <v>1307</v>
      </c>
    </row>
    <row r="1007" spans="1:2" x14ac:dyDescent="0.25">
      <c r="A1007" t="s">
        <v>605</v>
      </c>
      <c r="B1007" t="s">
        <v>1307</v>
      </c>
    </row>
    <row r="1008" spans="1:2" x14ac:dyDescent="0.25">
      <c r="A1008" t="s">
        <v>606</v>
      </c>
      <c r="B1008" t="s">
        <v>1307</v>
      </c>
    </row>
    <row r="1009" spans="1:2" x14ac:dyDescent="0.25">
      <c r="A1009" t="s">
        <v>616</v>
      </c>
      <c r="B1009" t="s">
        <v>1307</v>
      </c>
    </row>
    <row r="1010" spans="1:2" x14ac:dyDescent="0.25">
      <c r="A1010" t="s">
        <v>624</v>
      </c>
      <c r="B1010" t="s">
        <v>1307</v>
      </c>
    </row>
    <row r="1011" spans="1:2" x14ac:dyDescent="0.25">
      <c r="A1011" t="s">
        <v>635</v>
      </c>
      <c r="B1011" t="s">
        <v>1966</v>
      </c>
    </row>
    <row r="1012" spans="1:2" x14ac:dyDescent="0.25">
      <c r="A1012" t="s">
        <v>1012</v>
      </c>
      <c r="B1012" t="s">
        <v>1615</v>
      </c>
    </row>
    <row r="1013" spans="1:2" x14ac:dyDescent="0.25">
      <c r="A1013" t="s">
        <v>605</v>
      </c>
      <c r="B1013" t="s">
        <v>1342</v>
      </c>
    </row>
    <row r="1014" spans="1:2" x14ac:dyDescent="0.25">
      <c r="A1014" t="s">
        <v>610</v>
      </c>
      <c r="B1014" t="s">
        <v>1669</v>
      </c>
    </row>
    <row r="1015" spans="1:2" x14ac:dyDescent="0.25">
      <c r="A1015" t="s">
        <v>603</v>
      </c>
      <c r="B1015" t="s">
        <v>142</v>
      </c>
    </row>
    <row r="1016" spans="1:2" x14ac:dyDescent="0.25">
      <c r="A1016" t="s">
        <v>631</v>
      </c>
      <c r="B1016" t="s">
        <v>142</v>
      </c>
    </row>
    <row r="1017" spans="1:2" x14ac:dyDescent="0.25">
      <c r="A1017" t="s">
        <v>629</v>
      </c>
      <c r="B1017" t="s">
        <v>2445</v>
      </c>
    </row>
    <row r="1018" spans="1:2" x14ac:dyDescent="0.25">
      <c r="A1018" t="s">
        <v>620</v>
      </c>
      <c r="B1018" t="s">
        <v>2186</v>
      </c>
    </row>
    <row r="1019" spans="1:2" x14ac:dyDescent="0.25">
      <c r="A1019" t="s">
        <v>831</v>
      </c>
      <c r="B1019" t="s">
        <v>1761</v>
      </c>
    </row>
    <row r="1020" spans="1:2" x14ac:dyDescent="0.25">
      <c r="A1020" t="s">
        <v>605</v>
      </c>
      <c r="B1020" t="s">
        <v>827</v>
      </c>
    </row>
    <row r="1021" spans="1:2" x14ac:dyDescent="0.25">
      <c r="A1021" t="s">
        <v>635</v>
      </c>
      <c r="B1021" t="s">
        <v>827</v>
      </c>
    </row>
    <row r="1022" spans="1:2" x14ac:dyDescent="0.25">
      <c r="A1022" t="s">
        <v>618</v>
      </c>
      <c r="B1022" t="s">
        <v>827</v>
      </c>
    </row>
    <row r="1023" spans="1:2" x14ac:dyDescent="0.25">
      <c r="A1023" t="s">
        <v>632</v>
      </c>
      <c r="B1023" t="s">
        <v>827</v>
      </c>
    </row>
    <row r="1024" spans="1:2" x14ac:dyDescent="0.25">
      <c r="A1024" t="s">
        <v>610</v>
      </c>
      <c r="B1024" t="s">
        <v>801</v>
      </c>
    </row>
    <row r="1025" spans="1:2" x14ac:dyDescent="0.25">
      <c r="A1025" t="s">
        <v>612</v>
      </c>
      <c r="B1025" t="s">
        <v>801</v>
      </c>
    </row>
    <row r="1026" spans="1:2" x14ac:dyDescent="0.25">
      <c r="A1026" t="s">
        <v>615</v>
      </c>
      <c r="B1026" t="s">
        <v>801</v>
      </c>
    </row>
    <row r="1027" spans="1:2" x14ac:dyDescent="0.25">
      <c r="A1027" t="s">
        <v>617</v>
      </c>
      <c r="B1027" t="s">
        <v>801</v>
      </c>
    </row>
    <row r="1028" spans="1:2" x14ac:dyDescent="0.25">
      <c r="A1028" t="s">
        <v>605</v>
      </c>
      <c r="B1028" t="s">
        <v>1329</v>
      </c>
    </row>
    <row r="1029" spans="1:2" x14ac:dyDescent="0.25">
      <c r="A1029" t="s">
        <v>630</v>
      </c>
      <c r="B1029" t="s">
        <v>2464</v>
      </c>
    </row>
    <row r="1030" spans="1:2" x14ac:dyDescent="0.25">
      <c r="A1030" t="s">
        <v>614</v>
      </c>
      <c r="B1030" t="s">
        <v>1826</v>
      </c>
    </row>
    <row r="1031" spans="1:2" x14ac:dyDescent="0.25">
      <c r="A1031" t="s">
        <v>603</v>
      </c>
      <c r="B1031" t="s">
        <v>1205</v>
      </c>
    </row>
    <row r="1032" spans="1:2" x14ac:dyDescent="0.25">
      <c r="A1032" t="s">
        <v>604</v>
      </c>
      <c r="B1032" t="s">
        <v>1205</v>
      </c>
    </row>
    <row r="1033" spans="1:2" x14ac:dyDescent="0.25">
      <c r="A1033" t="s">
        <v>953</v>
      </c>
      <c r="B1033" t="s">
        <v>1205</v>
      </c>
    </row>
    <row r="1034" spans="1:2" x14ac:dyDescent="0.25">
      <c r="A1034" t="s">
        <v>616</v>
      </c>
      <c r="B1034" t="s">
        <v>1205</v>
      </c>
    </row>
    <row r="1035" spans="1:2" x14ac:dyDescent="0.25">
      <c r="A1035" t="s">
        <v>2808</v>
      </c>
      <c r="B1035" t="s">
        <v>1205</v>
      </c>
    </row>
    <row r="1036" spans="1:2" x14ac:dyDescent="0.25">
      <c r="A1036" t="s">
        <v>624</v>
      </c>
      <c r="B1036" t="s">
        <v>1205</v>
      </c>
    </row>
    <row r="1037" spans="1:2" x14ac:dyDescent="0.25">
      <c r="A1037" t="s">
        <v>629</v>
      </c>
      <c r="B1037" t="s">
        <v>1205</v>
      </c>
    </row>
    <row r="1038" spans="1:2" x14ac:dyDescent="0.25">
      <c r="A1038" t="s">
        <v>631</v>
      </c>
      <c r="B1038" t="s">
        <v>1205</v>
      </c>
    </row>
    <row r="1039" spans="1:2" x14ac:dyDescent="0.25">
      <c r="A1039" t="s">
        <v>831</v>
      </c>
      <c r="B1039" t="s">
        <v>1770</v>
      </c>
    </row>
    <row r="1040" spans="1:2" x14ac:dyDescent="0.25">
      <c r="A1040" t="s">
        <v>617</v>
      </c>
      <c r="B1040" t="s">
        <v>147</v>
      </c>
    </row>
    <row r="1041" spans="1:2" x14ac:dyDescent="0.25">
      <c r="A1041" t="s">
        <v>628</v>
      </c>
      <c r="B1041" t="s">
        <v>147</v>
      </c>
    </row>
    <row r="1042" spans="1:2" x14ac:dyDescent="0.25">
      <c r="A1042" t="s">
        <v>619</v>
      </c>
      <c r="B1042" t="s">
        <v>155</v>
      </c>
    </row>
    <row r="1043" spans="1:2" x14ac:dyDescent="0.25">
      <c r="A1043" t="s">
        <v>622</v>
      </c>
      <c r="B1043" t="s">
        <v>2231</v>
      </c>
    </row>
    <row r="1044" spans="1:2" x14ac:dyDescent="0.25">
      <c r="A1044" t="s">
        <v>953</v>
      </c>
      <c r="B1044" t="s">
        <v>990</v>
      </c>
    </row>
    <row r="1045" spans="1:2" x14ac:dyDescent="0.25">
      <c r="A1045" t="s">
        <v>619</v>
      </c>
      <c r="B1045" t="s">
        <v>2132</v>
      </c>
    </row>
    <row r="1046" spans="1:2" x14ac:dyDescent="0.25">
      <c r="A1046" t="s">
        <v>2616</v>
      </c>
      <c r="B1046" t="s">
        <v>2662</v>
      </c>
    </row>
    <row r="1047" spans="1:2" x14ac:dyDescent="0.25">
      <c r="A1047" t="s">
        <v>601</v>
      </c>
      <c r="B1047" t="s">
        <v>1151</v>
      </c>
    </row>
    <row r="1048" spans="1:2" x14ac:dyDescent="0.25">
      <c r="A1048" t="s">
        <v>609</v>
      </c>
      <c r="B1048" t="s">
        <v>1531</v>
      </c>
    </row>
    <row r="1049" spans="1:2" x14ac:dyDescent="0.25">
      <c r="A1049" t="s">
        <v>1012</v>
      </c>
      <c r="B1049" t="s">
        <v>1531</v>
      </c>
    </row>
    <row r="1050" spans="1:2" x14ac:dyDescent="0.25">
      <c r="A1050" t="s">
        <v>628</v>
      </c>
      <c r="B1050" t="s">
        <v>1531</v>
      </c>
    </row>
    <row r="1051" spans="1:2" x14ac:dyDescent="0.25">
      <c r="A1051" t="s">
        <v>615</v>
      </c>
      <c r="B1051" t="s">
        <v>1898</v>
      </c>
    </row>
    <row r="1052" spans="1:2" x14ac:dyDescent="0.25">
      <c r="A1052" t="s">
        <v>606</v>
      </c>
      <c r="B1052" t="s">
        <v>1379</v>
      </c>
    </row>
    <row r="1053" spans="1:2" x14ac:dyDescent="0.25">
      <c r="A1053" t="s">
        <v>623</v>
      </c>
      <c r="B1053" t="s">
        <v>2287</v>
      </c>
    </row>
    <row r="1054" spans="1:2" x14ac:dyDescent="0.25">
      <c r="A1054" t="s">
        <v>606</v>
      </c>
      <c r="B1054" t="s">
        <v>1367</v>
      </c>
    </row>
    <row r="1055" spans="1:2" x14ac:dyDescent="0.25">
      <c r="A1055" t="s">
        <v>602</v>
      </c>
      <c r="B1055" t="s">
        <v>1200</v>
      </c>
    </row>
    <row r="1056" spans="1:2" x14ac:dyDescent="0.25">
      <c r="A1056" t="s">
        <v>608</v>
      </c>
      <c r="B1056" t="s">
        <v>940</v>
      </c>
    </row>
    <row r="1057" spans="1:2" x14ac:dyDescent="0.25">
      <c r="A1057" t="s">
        <v>1012</v>
      </c>
      <c r="B1057" t="s">
        <v>1050</v>
      </c>
    </row>
    <row r="1058" spans="1:2" x14ac:dyDescent="0.25">
      <c r="A1058" t="s">
        <v>915</v>
      </c>
      <c r="B1058" t="s">
        <v>1050</v>
      </c>
    </row>
    <row r="1059" spans="1:2" x14ac:dyDescent="0.25">
      <c r="A1059" t="s">
        <v>632</v>
      </c>
      <c r="B1059" t="s">
        <v>1050</v>
      </c>
    </row>
    <row r="1060" spans="1:2" x14ac:dyDescent="0.25">
      <c r="A1060" t="s">
        <v>831</v>
      </c>
      <c r="B1060" t="s">
        <v>690</v>
      </c>
    </row>
    <row r="1061" spans="1:2" x14ac:dyDescent="0.25">
      <c r="A1061" t="s">
        <v>915</v>
      </c>
      <c r="B1061" t="s">
        <v>690</v>
      </c>
    </row>
    <row r="1062" spans="1:2" x14ac:dyDescent="0.25">
      <c r="A1062" t="s">
        <v>623</v>
      </c>
      <c r="B1062" t="s">
        <v>690</v>
      </c>
    </row>
    <row r="1063" spans="1:2" x14ac:dyDescent="0.25">
      <c r="A1063" t="s">
        <v>1045</v>
      </c>
      <c r="B1063" t="s">
        <v>1069</v>
      </c>
    </row>
    <row r="1064" spans="1:2" x14ac:dyDescent="0.25">
      <c r="A1064" t="s">
        <v>633</v>
      </c>
      <c r="B1064" t="s">
        <v>2589</v>
      </c>
    </row>
    <row r="1065" spans="1:2" x14ac:dyDescent="0.25">
      <c r="A1065" t="s">
        <v>603</v>
      </c>
      <c r="B1065" t="s">
        <v>1237</v>
      </c>
    </row>
    <row r="1066" spans="1:2" x14ac:dyDescent="0.25">
      <c r="A1066" t="s">
        <v>620</v>
      </c>
      <c r="B1066" t="s">
        <v>2187</v>
      </c>
    </row>
    <row r="1067" spans="1:2" x14ac:dyDescent="0.25">
      <c r="A1067" t="s">
        <v>630</v>
      </c>
      <c r="B1067" t="s">
        <v>2187</v>
      </c>
    </row>
    <row r="1068" spans="1:2" x14ac:dyDescent="0.25">
      <c r="A1068" t="s">
        <v>606</v>
      </c>
      <c r="B1068" t="s">
        <v>1373</v>
      </c>
    </row>
    <row r="1069" spans="1:2" x14ac:dyDescent="0.25">
      <c r="A1069" t="s">
        <v>603</v>
      </c>
      <c r="B1069" t="s">
        <v>1242</v>
      </c>
    </row>
    <row r="1070" spans="1:2" x14ac:dyDescent="0.25">
      <c r="A1070" t="s">
        <v>2808</v>
      </c>
      <c r="B1070" t="s">
        <v>1242</v>
      </c>
    </row>
    <row r="1071" spans="1:2" x14ac:dyDescent="0.25">
      <c r="A1071" t="s">
        <v>635</v>
      </c>
      <c r="B1071" t="s">
        <v>1951</v>
      </c>
    </row>
    <row r="1072" spans="1:2" x14ac:dyDescent="0.25">
      <c r="A1072" t="s">
        <v>607</v>
      </c>
      <c r="B1072" t="s">
        <v>1458</v>
      </c>
    </row>
    <row r="1073" spans="1:2" x14ac:dyDescent="0.25">
      <c r="A1073" t="s">
        <v>1012</v>
      </c>
      <c r="B1073" t="s">
        <v>1458</v>
      </c>
    </row>
    <row r="1074" spans="1:2" x14ac:dyDescent="0.25">
      <c r="A1074" t="s">
        <v>618</v>
      </c>
      <c r="B1074" t="s">
        <v>1458</v>
      </c>
    </row>
    <row r="1075" spans="1:2" x14ac:dyDescent="0.25">
      <c r="A1075" t="s">
        <v>632</v>
      </c>
      <c r="B1075" t="s">
        <v>1458</v>
      </c>
    </row>
    <row r="1076" spans="1:2" x14ac:dyDescent="0.25">
      <c r="A1076" t="s">
        <v>610</v>
      </c>
      <c r="B1076" t="s">
        <v>1658</v>
      </c>
    </row>
    <row r="1077" spans="1:2" x14ac:dyDescent="0.25">
      <c r="A1077" t="s">
        <v>603</v>
      </c>
      <c r="B1077" t="s">
        <v>1249</v>
      </c>
    </row>
    <row r="1078" spans="1:2" x14ac:dyDescent="0.25">
      <c r="A1078" t="s">
        <v>831</v>
      </c>
      <c r="B1078" t="s">
        <v>834</v>
      </c>
    </row>
    <row r="1079" spans="1:2" x14ac:dyDescent="0.25">
      <c r="A1079" t="s">
        <v>619</v>
      </c>
      <c r="B1079" t="s">
        <v>834</v>
      </c>
    </row>
    <row r="1080" spans="1:2" x14ac:dyDescent="0.25">
      <c r="A1080" t="s">
        <v>606</v>
      </c>
      <c r="B1080" t="s">
        <v>118</v>
      </c>
    </row>
    <row r="1081" spans="1:2" x14ac:dyDescent="0.25">
      <c r="A1081" t="s">
        <v>610</v>
      </c>
      <c r="B1081" t="s">
        <v>118</v>
      </c>
    </row>
    <row r="1082" spans="1:2" x14ac:dyDescent="0.25">
      <c r="A1082" t="s">
        <v>624</v>
      </c>
      <c r="B1082" t="s">
        <v>118</v>
      </c>
    </row>
    <row r="1083" spans="1:2" x14ac:dyDescent="0.25">
      <c r="A1083" t="s">
        <v>619</v>
      </c>
      <c r="B1083" t="s">
        <v>2129</v>
      </c>
    </row>
    <row r="1084" spans="1:2" x14ac:dyDescent="0.25">
      <c r="A1084" t="s">
        <v>1045</v>
      </c>
      <c r="B1084" t="s">
        <v>1092</v>
      </c>
    </row>
    <row r="1085" spans="1:2" x14ac:dyDescent="0.25">
      <c r="A1085" t="s">
        <v>1012</v>
      </c>
      <c r="B1085" t="s">
        <v>1625</v>
      </c>
    </row>
    <row r="1086" spans="1:2" x14ac:dyDescent="0.25">
      <c r="A1086" t="s">
        <v>620</v>
      </c>
      <c r="B1086" t="s">
        <v>2194</v>
      </c>
    </row>
    <row r="1087" spans="1:2" x14ac:dyDescent="0.25">
      <c r="A1087" t="s">
        <v>915</v>
      </c>
      <c r="B1087" t="s">
        <v>2138</v>
      </c>
    </row>
    <row r="1088" spans="1:2" x14ac:dyDescent="0.25">
      <c r="A1088" t="s">
        <v>831</v>
      </c>
      <c r="B1088" t="s">
        <v>1742</v>
      </c>
    </row>
    <row r="1089" spans="1:2" x14ac:dyDescent="0.25">
      <c r="A1089" t="s">
        <v>606</v>
      </c>
      <c r="B1089" t="s">
        <v>1386</v>
      </c>
    </row>
    <row r="1090" spans="1:2" x14ac:dyDescent="0.25">
      <c r="A1090" t="s">
        <v>635</v>
      </c>
      <c r="B1090" t="s">
        <v>1982</v>
      </c>
    </row>
    <row r="1091" spans="1:2" x14ac:dyDescent="0.25">
      <c r="A1091" t="s">
        <v>610</v>
      </c>
      <c r="B1091" t="s">
        <v>1627</v>
      </c>
    </row>
    <row r="1092" spans="1:2" x14ac:dyDescent="0.25">
      <c r="A1092" t="s">
        <v>618</v>
      </c>
      <c r="B1092" t="s">
        <v>2028</v>
      </c>
    </row>
    <row r="1093" spans="1:2" x14ac:dyDescent="0.25">
      <c r="A1093" t="s">
        <v>601</v>
      </c>
      <c r="B1093" t="s">
        <v>1129</v>
      </c>
    </row>
    <row r="1094" spans="1:2" x14ac:dyDescent="0.25">
      <c r="A1094" t="s">
        <v>623</v>
      </c>
      <c r="B1094" t="s">
        <v>959</v>
      </c>
    </row>
    <row r="1095" spans="1:2" x14ac:dyDescent="0.25">
      <c r="A1095" t="s">
        <v>624</v>
      </c>
      <c r="B1095" t="s">
        <v>959</v>
      </c>
    </row>
    <row r="1096" spans="1:2" x14ac:dyDescent="0.25">
      <c r="A1096" t="s">
        <v>627</v>
      </c>
      <c r="B1096" t="s">
        <v>959</v>
      </c>
    </row>
    <row r="1097" spans="1:2" x14ac:dyDescent="0.25">
      <c r="A1097" t="s">
        <v>2808</v>
      </c>
      <c r="B1097" t="s">
        <v>2598</v>
      </c>
    </row>
    <row r="1098" spans="1:2" x14ac:dyDescent="0.25">
      <c r="A1098" t="s">
        <v>604</v>
      </c>
      <c r="B1098" t="s">
        <v>1312</v>
      </c>
    </row>
    <row r="1099" spans="1:2" x14ac:dyDescent="0.25">
      <c r="A1099" t="s">
        <v>607</v>
      </c>
      <c r="B1099" t="s">
        <v>1438</v>
      </c>
    </row>
    <row r="1100" spans="1:2" x14ac:dyDescent="0.25">
      <c r="A1100" t="s">
        <v>605</v>
      </c>
      <c r="B1100" t="s">
        <v>1332</v>
      </c>
    </row>
    <row r="1101" spans="1:2" x14ac:dyDescent="0.25">
      <c r="A1101" t="s">
        <v>619</v>
      </c>
      <c r="B1101" t="s">
        <v>1332</v>
      </c>
    </row>
    <row r="1102" spans="1:2" x14ac:dyDescent="0.25">
      <c r="A1102" t="s">
        <v>624</v>
      </c>
      <c r="B1102" t="s">
        <v>1332</v>
      </c>
    </row>
    <row r="1103" spans="1:2" x14ac:dyDescent="0.25">
      <c r="A1103" t="s">
        <v>608</v>
      </c>
      <c r="B1103" t="s">
        <v>1493</v>
      </c>
    </row>
    <row r="1104" spans="1:2" x14ac:dyDescent="0.25">
      <c r="A1104" t="s">
        <v>2808</v>
      </c>
      <c r="B1104" t="s">
        <v>2301</v>
      </c>
    </row>
    <row r="1105" spans="1:2" x14ac:dyDescent="0.25">
      <c r="A1105" t="s">
        <v>614</v>
      </c>
      <c r="B1105" t="s">
        <v>1037</v>
      </c>
    </row>
    <row r="1106" spans="1:2" x14ac:dyDescent="0.25">
      <c r="A1106" t="s">
        <v>2808</v>
      </c>
      <c r="B1106" t="s">
        <v>2823</v>
      </c>
    </row>
    <row r="1107" spans="1:2" x14ac:dyDescent="0.25">
      <c r="A1107" t="s">
        <v>615</v>
      </c>
      <c r="B1107" t="s">
        <v>1853</v>
      </c>
    </row>
    <row r="1108" spans="1:2" x14ac:dyDescent="0.25">
      <c r="A1108" t="s">
        <v>630</v>
      </c>
      <c r="B1108" t="s">
        <v>1853</v>
      </c>
    </row>
    <row r="1109" spans="1:2" x14ac:dyDescent="0.25">
      <c r="A1109" t="s">
        <v>607</v>
      </c>
      <c r="B1109" t="s">
        <v>1444</v>
      </c>
    </row>
    <row r="1110" spans="1:2" x14ac:dyDescent="0.25">
      <c r="A1110" t="s">
        <v>603</v>
      </c>
      <c r="B1110" t="s">
        <v>1204</v>
      </c>
    </row>
    <row r="1111" spans="1:2" x14ac:dyDescent="0.25">
      <c r="A1111" t="s">
        <v>617</v>
      </c>
      <c r="B1111" t="s">
        <v>2000</v>
      </c>
    </row>
    <row r="1112" spans="1:2" x14ac:dyDescent="0.25">
      <c r="A1112" t="s">
        <v>609</v>
      </c>
      <c r="B1112" t="s">
        <v>70</v>
      </c>
    </row>
    <row r="1113" spans="1:2" x14ac:dyDescent="0.25">
      <c r="A1113" t="s">
        <v>624</v>
      </c>
      <c r="B1113" t="s">
        <v>70</v>
      </c>
    </row>
    <row r="1114" spans="1:2" x14ac:dyDescent="0.25">
      <c r="A1114" t="s">
        <v>628</v>
      </c>
      <c r="B1114" t="s">
        <v>70</v>
      </c>
    </row>
    <row r="1115" spans="1:2" x14ac:dyDescent="0.25">
      <c r="A1115" t="s">
        <v>618</v>
      </c>
      <c r="B1115" t="s">
        <v>2050</v>
      </c>
    </row>
    <row r="1116" spans="1:2" x14ac:dyDescent="0.25">
      <c r="A1116" t="s">
        <v>606</v>
      </c>
      <c r="B1116" t="s">
        <v>1394</v>
      </c>
    </row>
    <row r="1117" spans="1:2" x14ac:dyDescent="0.25">
      <c r="A1117" t="s">
        <v>635</v>
      </c>
      <c r="B1117" t="s">
        <v>1992</v>
      </c>
    </row>
    <row r="1118" spans="1:2" x14ac:dyDescent="0.25">
      <c r="A1118" t="s">
        <v>2808</v>
      </c>
      <c r="B1118" t="s">
        <v>2314</v>
      </c>
    </row>
    <row r="1119" spans="1:2" x14ac:dyDescent="0.25">
      <c r="A1119" t="s">
        <v>629</v>
      </c>
      <c r="B1119" t="s">
        <v>191</v>
      </c>
    </row>
    <row r="1120" spans="1:2" x14ac:dyDescent="0.25">
      <c r="A1120" t="s">
        <v>629</v>
      </c>
      <c r="B1120" t="s">
        <v>191</v>
      </c>
    </row>
    <row r="1121" spans="1:2" x14ac:dyDescent="0.25">
      <c r="A1121" t="s">
        <v>629</v>
      </c>
      <c r="B1121" t="s">
        <v>191</v>
      </c>
    </row>
    <row r="1122" spans="1:2" x14ac:dyDescent="0.25">
      <c r="A1122" t="s">
        <v>629</v>
      </c>
      <c r="B1122" t="s">
        <v>191</v>
      </c>
    </row>
    <row r="1123" spans="1:2" x14ac:dyDescent="0.25">
      <c r="A1123" t="s">
        <v>629</v>
      </c>
      <c r="B1123" t="s">
        <v>191</v>
      </c>
    </row>
    <row r="1124" spans="1:2" x14ac:dyDescent="0.25">
      <c r="A1124" t="s">
        <v>629</v>
      </c>
      <c r="B1124" t="s">
        <v>191</v>
      </c>
    </row>
    <row r="1125" spans="1:2" x14ac:dyDescent="0.25">
      <c r="A1125" t="s">
        <v>629</v>
      </c>
      <c r="B1125" t="s">
        <v>191</v>
      </c>
    </row>
    <row r="1126" spans="1:2" x14ac:dyDescent="0.25">
      <c r="A1126" t="s">
        <v>629</v>
      </c>
      <c r="B1126" t="s">
        <v>191</v>
      </c>
    </row>
    <row r="1127" spans="1:2" x14ac:dyDescent="0.25">
      <c r="A1127" t="s">
        <v>629</v>
      </c>
      <c r="B1127" t="s">
        <v>191</v>
      </c>
    </row>
    <row r="1128" spans="1:2" x14ac:dyDescent="0.25">
      <c r="A1128" t="s">
        <v>629</v>
      </c>
      <c r="B1128" t="s">
        <v>191</v>
      </c>
    </row>
    <row r="1129" spans="1:2" x14ac:dyDescent="0.25">
      <c r="A1129" t="s">
        <v>629</v>
      </c>
      <c r="B1129" t="s">
        <v>191</v>
      </c>
    </row>
    <row r="1130" spans="1:2" x14ac:dyDescent="0.25">
      <c r="A1130" t="s">
        <v>629</v>
      </c>
      <c r="B1130" t="s">
        <v>191</v>
      </c>
    </row>
    <row r="1131" spans="1:2" x14ac:dyDescent="0.25">
      <c r="A1131" t="s">
        <v>629</v>
      </c>
      <c r="B1131" t="s">
        <v>191</v>
      </c>
    </row>
    <row r="1132" spans="1:2" x14ac:dyDescent="0.25">
      <c r="A1132" t="s">
        <v>629</v>
      </c>
      <c r="B1132" t="s">
        <v>191</v>
      </c>
    </row>
    <row r="1133" spans="1:2" x14ac:dyDescent="0.25">
      <c r="A1133" t="s">
        <v>629</v>
      </c>
      <c r="B1133" t="s">
        <v>191</v>
      </c>
    </row>
    <row r="1134" spans="1:2" x14ac:dyDescent="0.25">
      <c r="A1134" t="s">
        <v>629</v>
      </c>
      <c r="B1134" t="s">
        <v>191</v>
      </c>
    </row>
    <row r="1135" spans="1:2" x14ac:dyDescent="0.25">
      <c r="A1135" t="s">
        <v>629</v>
      </c>
      <c r="B1135" t="s">
        <v>191</v>
      </c>
    </row>
    <row r="1136" spans="1:2" x14ac:dyDescent="0.25">
      <c r="A1136" t="s">
        <v>629</v>
      </c>
      <c r="B1136" t="s">
        <v>191</v>
      </c>
    </row>
    <row r="1137" spans="1:2" x14ac:dyDescent="0.25">
      <c r="A1137" t="s">
        <v>610</v>
      </c>
      <c r="B1137" t="s">
        <v>1663</v>
      </c>
    </row>
    <row r="1138" spans="1:2" x14ac:dyDescent="0.25">
      <c r="A1138" t="s">
        <v>609</v>
      </c>
      <c r="B1138" t="s">
        <v>1554</v>
      </c>
    </row>
    <row r="1139" spans="1:2" x14ac:dyDescent="0.25">
      <c r="A1139" t="s">
        <v>601</v>
      </c>
      <c r="B1139" t="s">
        <v>749</v>
      </c>
    </row>
    <row r="1140" spans="1:2" x14ac:dyDescent="0.25">
      <c r="A1140" t="s">
        <v>915</v>
      </c>
      <c r="B1140" t="s">
        <v>749</v>
      </c>
    </row>
    <row r="1141" spans="1:2" x14ac:dyDescent="0.25">
      <c r="A1141" t="s">
        <v>915</v>
      </c>
      <c r="B1141" t="s">
        <v>100</v>
      </c>
    </row>
    <row r="1142" spans="1:2" x14ac:dyDescent="0.25">
      <c r="A1142" t="s">
        <v>609</v>
      </c>
      <c r="B1142" t="s">
        <v>1561</v>
      </c>
    </row>
    <row r="1143" spans="1:2" x14ac:dyDescent="0.25">
      <c r="A1143" t="s">
        <v>620</v>
      </c>
      <c r="B1143" t="s">
        <v>2169</v>
      </c>
    </row>
    <row r="1144" spans="1:2" x14ac:dyDescent="0.25">
      <c r="A1144" t="s">
        <v>609</v>
      </c>
      <c r="B1144" t="s">
        <v>1595</v>
      </c>
    </row>
    <row r="1145" spans="1:2" x14ac:dyDescent="0.25">
      <c r="A1145" t="s">
        <v>831</v>
      </c>
      <c r="B1145" t="s">
        <v>1768</v>
      </c>
    </row>
    <row r="1146" spans="1:2" x14ac:dyDescent="0.25">
      <c r="A1146" t="s">
        <v>618</v>
      </c>
      <c r="B1146" t="s">
        <v>208</v>
      </c>
    </row>
    <row r="1147" spans="1:2" x14ac:dyDescent="0.25">
      <c r="A1147" t="s">
        <v>620</v>
      </c>
      <c r="B1147" t="s">
        <v>208</v>
      </c>
    </row>
    <row r="1148" spans="1:2" x14ac:dyDescent="0.25">
      <c r="A1148" t="s">
        <v>619</v>
      </c>
      <c r="B1148" t="s">
        <v>2764</v>
      </c>
    </row>
    <row r="1149" spans="1:2" x14ac:dyDescent="0.25">
      <c r="A1149" t="s">
        <v>609</v>
      </c>
      <c r="B1149" t="s">
        <v>1584</v>
      </c>
    </row>
    <row r="1150" spans="1:2" x14ac:dyDescent="0.25">
      <c r="A1150" t="s">
        <v>603</v>
      </c>
      <c r="B1150" t="s">
        <v>1214</v>
      </c>
    </row>
    <row r="1151" spans="1:2" x14ac:dyDescent="0.25">
      <c r="A1151" t="s">
        <v>617</v>
      </c>
      <c r="B1151" t="s">
        <v>1214</v>
      </c>
    </row>
    <row r="1152" spans="1:2" x14ac:dyDescent="0.25">
      <c r="A1152" t="s">
        <v>610</v>
      </c>
      <c r="B1152" t="s">
        <v>1634</v>
      </c>
    </row>
    <row r="1153" spans="1:2" x14ac:dyDescent="0.25">
      <c r="A1153" t="s">
        <v>609</v>
      </c>
      <c r="B1153" t="s">
        <v>1551</v>
      </c>
    </row>
    <row r="1154" spans="1:2" x14ac:dyDescent="0.25">
      <c r="A1154" t="s">
        <v>607</v>
      </c>
      <c r="B1154" t="s">
        <v>1421</v>
      </c>
    </row>
    <row r="1155" spans="1:2" x14ac:dyDescent="0.25">
      <c r="A1155" t="s">
        <v>2808</v>
      </c>
      <c r="B1155" t="s">
        <v>1421</v>
      </c>
    </row>
    <row r="1156" spans="1:2" x14ac:dyDescent="0.25">
      <c r="A1156" t="s">
        <v>627</v>
      </c>
      <c r="B1156" t="s">
        <v>1421</v>
      </c>
    </row>
    <row r="1157" spans="1:2" x14ac:dyDescent="0.25">
      <c r="A1157" t="s">
        <v>613</v>
      </c>
      <c r="B1157" t="s">
        <v>1805</v>
      </c>
    </row>
    <row r="1158" spans="1:2" x14ac:dyDescent="0.25">
      <c r="A1158" t="s">
        <v>604</v>
      </c>
      <c r="B1158" t="s">
        <v>1317</v>
      </c>
    </row>
    <row r="1159" spans="1:2" x14ac:dyDescent="0.25">
      <c r="A1159" t="s">
        <v>613</v>
      </c>
      <c r="B1159" t="s">
        <v>918</v>
      </c>
    </row>
    <row r="1160" spans="1:2" x14ac:dyDescent="0.25">
      <c r="A1160" t="s">
        <v>618</v>
      </c>
      <c r="B1160" t="s">
        <v>918</v>
      </c>
    </row>
    <row r="1161" spans="1:2" x14ac:dyDescent="0.25">
      <c r="A1161" t="s">
        <v>627</v>
      </c>
      <c r="B1161" t="s">
        <v>918</v>
      </c>
    </row>
    <row r="1162" spans="1:2" x14ac:dyDescent="0.25">
      <c r="A1162" t="s">
        <v>953</v>
      </c>
      <c r="B1162" t="s">
        <v>1001</v>
      </c>
    </row>
    <row r="1163" spans="1:2" x14ac:dyDescent="0.25">
      <c r="A1163" t="s">
        <v>624</v>
      </c>
      <c r="B1163" t="s">
        <v>2337</v>
      </c>
    </row>
    <row r="1164" spans="1:2" x14ac:dyDescent="0.25">
      <c r="A1164" t="s">
        <v>601</v>
      </c>
      <c r="B1164" t="s">
        <v>1265</v>
      </c>
    </row>
    <row r="1165" spans="1:2" x14ac:dyDescent="0.25">
      <c r="A1165" t="s">
        <v>604</v>
      </c>
      <c r="B1165" t="s">
        <v>1265</v>
      </c>
    </row>
    <row r="1166" spans="1:2" x14ac:dyDescent="0.25">
      <c r="A1166" t="s">
        <v>953</v>
      </c>
      <c r="B1166" t="s">
        <v>1265</v>
      </c>
    </row>
    <row r="1167" spans="1:2" x14ac:dyDescent="0.25">
      <c r="A1167" t="s">
        <v>624</v>
      </c>
      <c r="B1167" t="s">
        <v>1265</v>
      </c>
    </row>
    <row r="1168" spans="1:2" x14ac:dyDescent="0.25">
      <c r="A1168" t="s">
        <v>607</v>
      </c>
      <c r="B1168" t="s">
        <v>1435</v>
      </c>
    </row>
    <row r="1169" spans="1:2" x14ac:dyDescent="0.25">
      <c r="A1169" t="s">
        <v>620</v>
      </c>
      <c r="B1169" t="s">
        <v>2193</v>
      </c>
    </row>
    <row r="1170" spans="1:2" x14ac:dyDescent="0.25">
      <c r="A1170" t="s">
        <v>612</v>
      </c>
      <c r="B1170" t="s">
        <v>1726</v>
      </c>
    </row>
    <row r="1171" spans="1:2" x14ac:dyDescent="0.25">
      <c r="A1171" t="s">
        <v>631</v>
      </c>
      <c r="B1171" t="s">
        <v>2502</v>
      </c>
    </row>
    <row r="1172" spans="1:2" x14ac:dyDescent="0.25">
      <c r="A1172" t="s">
        <v>631</v>
      </c>
      <c r="B1172" t="s">
        <v>2512</v>
      </c>
    </row>
    <row r="1173" spans="1:2" x14ac:dyDescent="0.25">
      <c r="A1173" t="s">
        <v>609</v>
      </c>
      <c r="B1173" t="s">
        <v>1545</v>
      </c>
    </row>
    <row r="1174" spans="1:2" x14ac:dyDescent="0.25">
      <c r="A1174" t="s">
        <v>613</v>
      </c>
      <c r="B1174" t="s">
        <v>626</v>
      </c>
    </row>
    <row r="1175" spans="1:2" x14ac:dyDescent="0.25">
      <c r="A1175" t="s">
        <v>635</v>
      </c>
      <c r="B1175" t="s">
        <v>626</v>
      </c>
    </row>
    <row r="1176" spans="1:2" x14ac:dyDescent="0.25">
      <c r="A1176" t="s">
        <v>1045</v>
      </c>
      <c r="B1176" t="s">
        <v>626</v>
      </c>
    </row>
    <row r="1177" spans="1:2" x14ac:dyDescent="0.25">
      <c r="A1177" t="s">
        <v>609</v>
      </c>
      <c r="B1177" t="s">
        <v>1546</v>
      </c>
    </row>
    <row r="1178" spans="1:2" x14ac:dyDescent="0.25">
      <c r="A1178" t="s">
        <v>618</v>
      </c>
      <c r="B1178" t="s">
        <v>2057</v>
      </c>
    </row>
    <row r="1179" spans="1:2" x14ac:dyDescent="0.25">
      <c r="A1179" t="s">
        <v>623</v>
      </c>
      <c r="B1179" t="s">
        <v>2257</v>
      </c>
    </row>
    <row r="1180" spans="1:2" x14ac:dyDescent="0.25">
      <c r="A1180" t="s">
        <v>624</v>
      </c>
      <c r="B1180" t="s">
        <v>2257</v>
      </c>
    </row>
    <row r="1181" spans="1:2" x14ac:dyDescent="0.25">
      <c r="A1181" t="s">
        <v>607</v>
      </c>
      <c r="B1181" t="s">
        <v>1430</v>
      </c>
    </row>
    <row r="1182" spans="1:2" x14ac:dyDescent="0.25">
      <c r="A1182" t="s">
        <v>633</v>
      </c>
      <c r="B1182" t="s">
        <v>2571</v>
      </c>
    </row>
    <row r="1183" spans="1:2" x14ac:dyDescent="0.25">
      <c r="A1183" t="s">
        <v>619</v>
      </c>
      <c r="B1183" t="s">
        <v>2137</v>
      </c>
    </row>
    <row r="1184" spans="1:2" x14ac:dyDescent="0.25">
      <c r="A1184" t="s">
        <v>620</v>
      </c>
      <c r="B1184" t="s">
        <v>2173</v>
      </c>
    </row>
    <row r="1185" spans="1:2" x14ac:dyDescent="0.25">
      <c r="A1185" t="s">
        <v>622</v>
      </c>
      <c r="B1185" t="s">
        <v>769</v>
      </c>
    </row>
    <row r="1186" spans="1:2" x14ac:dyDescent="0.25">
      <c r="A1186" t="s">
        <v>604</v>
      </c>
      <c r="B1186" t="s">
        <v>1270</v>
      </c>
    </row>
    <row r="1187" spans="1:2" x14ac:dyDescent="0.25">
      <c r="A1187" t="s">
        <v>1045</v>
      </c>
      <c r="B1187" t="s">
        <v>2077</v>
      </c>
    </row>
    <row r="1188" spans="1:2" x14ac:dyDescent="0.25">
      <c r="A1188" t="s">
        <v>609</v>
      </c>
      <c r="B1188" t="s">
        <v>1585</v>
      </c>
    </row>
    <row r="1189" spans="1:2" x14ac:dyDescent="0.25">
      <c r="A1189" t="s">
        <v>633</v>
      </c>
      <c r="B1189" t="s">
        <v>648</v>
      </c>
    </row>
    <row r="1190" spans="1:2" x14ac:dyDescent="0.25">
      <c r="A1190" t="s">
        <v>831</v>
      </c>
      <c r="B1190" t="s">
        <v>1750</v>
      </c>
    </row>
    <row r="1191" spans="1:2" x14ac:dyDescent="0.25">
      <c r="A1191" t="s">
        <v>635</v>
      </c>
      <c r="B1191" t="s">
        <v>1957</v>
      </c>
    </row>
    <row r="1192" spans="1:2" x14ac:dyDescent="0.25">
      <c r="A1192" t="s">
        <v>635</v>
      </c>
      <c r="B1192" t="s">
        <v>1959</v>
      </c>
    </row>
    <row r="1193" spans="1:2" x14ac:dyDescent="0.25">
      <c r="A1193" t="s">
        <v>1045</v>
      </c>
      <c r="B1193" t="s">
        <v>1051</v>
      </c>
    </row>
    <row r="1194" spans="1:2" x14ac:dyDescent="0.25">
      <c r="A1194" t="s">
        <v>953</v>
      </c>
      <c r="B1194" t="s">
        <v>982</v>
      </c>
    </row>
    <row r="1195" spans="1:2" x14ac:dyDescent="0.25">
      <c r="A1195" t="s">
        <v>617</v>
      </c>
      <c r="B1195" t="s">
        <v>936</v>
      </c>
    </row>
    <row r="1196" spans="1:2" x14ac:dyDescent="0.25">
      <c r="A1196" t="s">
        <v>618</v>
      </c>
      <c r="B1196" t="s">
        <v>1030</v>
      </c>
    </row>
    <row r="1197" spans="1:2" x14ac:dyDescent="0.25">
      <c r="A1197" t="s">
        <v>605</v>
      </c>
      <c r="B1197" t="s">
        <v>1334</v>
      </c>
    </row>
    <row r="1198" spans="1:2" x14ac:dyDescent="0.25">
      <c r="A1198" t="s">
        <v>610</v>
      </c>
      <c r="B1198" t="s">
        <v>1334</v>
      </c>
    </row>
    <row r="1199" spans="1:2" x14ac:dyDescent="0.25">
      <c r="A1199" t="s">
        <v>608</v>
      </c>
      <c r="B1199" t="s">
        <v>1494</v>
      </c>
    </row>
    <row r="1200" spans="1:2" x14ac:dyDescent="0.25">
      <c r="A1200" t="s">
        <v>615</v>
      </c>
      <c r="B1200" t="s">
        <v>1888</v>
      </c>
    </row>
    <row r="1201" spans="1:2" x14ac:dyDescent="0.25">
      <c r="A1201" t="s">
        <v>603</v>
      </c>
      <c r="B1201" t="s">
        <v>1240</v>
      </c>
    </row>
    <row r="1202" spans="1:2" x14ac:dyDescent="0.25">
      <c r="A1202" t="s">
        <v>611</v>
      </c>
      <c r="B1202" t="s">
        <v>2687</v>
      </c>
    </row>
    <row r="1203" spans="1:2" x14ac:dyDescent="0.25">
      <c r="A1203" t="s">
        <v>612</v>
      </c>
      <c r="B1203" t="s">
        <v>2687</v>
      </c>
    </row>
    <row r="1204" spans="1:2" x14ac:dyDescent="0.25">
      <c r="A1204" t="s">
        <v>611</v>
      </c>
      <c r="B1204" t="s">
        <v>1716</v>
      </c>
    </row>
    <row r="1205" spans="1:2" x14ac:dyDescent="0.25">
      <c r="A1205" t="s">
        <v>610</v>
      </c>
      <c r="B1205" t="s">
        <v>1626</v>
      </c>
    </row>
    <row r="1206" spans="1:2" x14ac:dyDescent="0.25">
      <c r="A1206" t="s">
        <v>2808</v>
      </c>
      <c r="B1206" t="s">
        <v>2300</v>
      </c>
    </row>
    <row r="1207" spans="1:2" x14ac:dyDescent="0.25">
      <c r="A1207" t="s">
        <v>610</v>
      </c>
      <c r="B1207" t="s">
        <v>1671</v>
      </c>
    </row>
    <row r="1208" spans="1:2" x14ac:dyDescent="0.25">
      <c r="A1208" t="s">
        <v>612</v>
      </c>
      <c r="B1208" t="s">
        <v>1727</v>
      </c>
    </row>
    <row r="1209" spans="1:2" x14ac:dyDescent="0.25">
      <c r="A1209" t="s">
        <v>628</v>
      </c>
      <c r="B1209" t="s">
        <v>2417</v>
      </c>
    </row>
    <row r="1210" spans="1:2" x14ac:dyDescent="0.25">
      <c r="A1210" t="s">
        <v>630</v>
      </c>
      <c r="B1210" t="s">
        <v>2465</v>
      </c>
    </row>
    <row r="1211" spans="1:2" x14ac:dyDescent="0.25">
      <c r="A1211" t="s">
        <v>628</v>
      </c>
      <c r="B1211" t="s">
        <v>2690</v>
      </c>
    </row>
    <row r="1212" spans="1:2" x14ac:dyDescent="0.25">
      <c r="A1212" t="s">
        <v>953</v>
      </c>
      <c r="B1212" t="s">
        <v>991</v>
      </c>
    </row>
    <row r="1213" spans="1:2" x14ac:dyDescent="0.25">
      <c r="A1213" t="s">
        <v>632</v>
      </c>
      <c r="B1213" t="s">
        <v>937</v>
      </c>
    </row>
    <row r="1214" spans="1:2" x14ac:dyDescent="0.25">
      <c r="A1214" t="s">
        <v>1012</v>
      </c>
      <c r="B1214" t="s">
        <v>925</v>
      </c>
    </row>
    <row r="1215" spans="1:2" x14ac:dyDescent="0.25">
      <c r="A1215" t="s">
        <v>618</v>
      </c>
      <c r="B1215" t="s">
        <v>925</v>
      </c>
    </row>
    <row r="1216" spans="1:2" x14ac:dyDescent="0.25">
      <c r="A1216" t="s">
        <v>1045</v>
      </c>
      <c r="B1216" t="s">
        <v>2073</v>
      </c>
    </row>
    <row r="1217" spans="1:2" x14ac:dyDescent="0.25">
      <c r="A1217" t="s">
        <v>618</v>
      </c>
      <c r="B1217" t="s">
        <v>729</v>
      </c>
    </row>
    <row r="1218" spans="1:2" x14ac:dyDescent="0.25">
      <c r="A1218" t="s">
        <v>620</v>
      </c>
      <c r="B1218" t="s">
        <v>729</v>
      </c>
    </row>
    <row r="1219" spans="1:2" x14ac:dyDescent="0.25">
      <c r="A1219" t="s">
        <v>603</v>
      </c>
      <c r="B1219" t="s">
        <v>1246</v>
      </c>
    </row>
    <row r="1220" spans="1:2" x14ac:dyDescent="0.25">
      <c r="A1220" t="s">
        <v>633</v>
      </c>
      <c r="B1220" t="s">
        <v>2593</v>
      </c>
    </row>
    <row r="1221" spans="1:2" x14ac:dyDescent="0.25">
      <c r="A1221" t="s">
        <v>608</v>
      </c>
      <c r="B1221" t="s">
        <v>1511</v>
      </c>
    </row>
    <row r="1222" spans="1:2" x14ac:dyDescent="0.25">
      <c r="A1222" t="s">
        <v>630</v>
      </c>
      <c r="B1222" t="s">
        <v>2473</v>
      </c>
    </row>
    <row r="1223" spans="1:2" x14ac:dyDescent="0.25">
      <c r="A1223" t="s">
        <v>1012</v>
      </c>
      <c r="B1223" t="s">
        <v>1623</v>
      </c>
    </row>
    <row r="1224" spans="1:2" x14ac:dyDescent="0.25">
      <c r="A1224" t="s">
        <v>616</v>
      </c>
      <c r="B1224" t="s">
        <v>148</v>
      </c>
    </row>
    <row r="1225" spans="1:2" x14ac:dyDescent="0.25">
      <c r="A1225" t="s">
        <v>617</v>
      </c>
      <c r="B1225" t="s">
        <v>148</v>
      </c>
    </row>
    <row r="1226" spans="1:2" x14ac:dyDescent="0.25">
      <c r="A1226" t="s">
        <v>624</v>
      </c>
      <c r="B1226" t="s">
        <v>127</v>
      </c>
    </row>
    <row r="1227" spans="1:2" x14ac:dyDescent="0.25">
      <c r="A1227" t="s">
        <v>602</v>
      </c>
      <c r="B1227" t="s">
        <v>1178</v>
      </c>
    </row>
    <row r="1228" spans="1:2" x14ac:dyDescent="0.25">
      <c r="A1228" t="s">
        <v>619</v>
      </c>
      <c r="B1228" t="s">
        <v>2130</v>
      </c>
    </row>
    <row r="1229" spans="1:2" x14ac:dyDescent="0.25">
      <c r="A1229" t="s">
        <v>632</v>
      </c>
      <c r="B1229" t="s">
        <v>2713</v>
      </c>
    </row>
    <row r="1230" spans="1:2" x14ac:dyDescent="0.25">
      <c r="A1230" t="s">
        <v>631</v>
      </c>
      <c r="B1230" t="s">
        <v>2507</v>
      </c>
    </row>
    <row r="1231" spans="1:2" x14ac:dyDescent="0.25">
      <c r="A1231" t="s">
        <v>627</v>
      </c>
      <c r="B1231" t="s">
        <v>2386</v>
      </c>
    </row>
    <row r="1232" spans="1:2" x14ac:dyDescent="0.25">
      <c r="A1232" t="s">
        <v>604</v>
      </c>
      <c r="B1232" t="s">
        <v>1301</v>
      </c>
    </row>
    <row r="1233" spans="1:2" x14ac:dyDescent="0.25">
      <c r="A1233" t="s">
        <v>604</v>
      </c>
      <c r="B1233" t="s">
        <v>1261</v>
      </c>
    </row>
    <row r="1234" spans="1:2" x14ac:dyDescent="0.25">
      <c r="A1234" t="s">
        <v>628</v>
      </c>
      <c r="B1234" t="s">
        <v>2402</v>
      </c>
    </row>
    <row r="1235" spans="1:2" x14ac:dyDescent="0.25">
      <c r="A1235" t="s">
        <v>603</v>
      </c>
      <c r="B1235" t="s">
        <v>1211</v>
      </c>
    </row>
    <row r="1236" spans="1:2" x14ac:dyDescent="0.25">
      <c r="A1236" t="s">
        <v>624</v>
      </c>
      <c r="B1236" t="s">
        <v>2352</v>
      </c>
    </row>
    <row r="1237" spans="1:2" x14ac:dyDescent="0.25">
      <c r="A1237" t="s">
        <v>603</v>
      </c>
      <c r="B1237" t="s">
        <v>1206</v>
      </c>
    </row>
    <row r="1238" spans="1:2" x14ac:dyDescent="0.25">
      <c r="A1238" t="s">
        <v>607</v>
      </c>
      <c r="B1238" t="s">
        <v>1206</v>
      </c>
    </row>
    <row r="1239" spans="1:2" x14ac:dyDescent="0.25">
      <c r="A1239" t="s">
        <v>614</v>
      </c>
      <c r="B1239" t="s">
        <v>1206</v>
      </c>
    </row>
    <row r="1240" spans="1:2" x14ac:dyDescent="0.25">
      <c r="A1240" t="s">
        <v>618</v>
      </c>
      <c r="B1240" t="s">
        <v>1206</v>
      </c>
    </row>
    <row r="1241" spans="1:2" x14ac:dyDescent="0.25">
      <c r="A1241" t="s">
        <v>633</v>
      </c>
      <c r="B1241" t="s">
        <v>1206</v>
      </c>
    </row>
    <row r="1242" spans="1:2" x14ac:dyDescent="0.25">
      <c r="A1242" t="s">
        <v>614</v>
      </c>
      <c r="B1242" t="s">
        <v>1845</v>
      </c>
    </row>
    <row r="1243" spans="1:2" x14ac:dyDescent="0.25">
      <c r="A1243" t="s">
        <v>611</v>
      </c>
      <c r="B1243" t="s">
        <v>1683</v>
      </c>
    </row>
    <row r="1244" spans="1:2" x14ac:dyDescent="0.25">
      <c r="A1244" t="s">
        <v>612</v>
      </c>
      <c r="B1244" t="s">
        <v>1683</v>
      </c>
    </row>
    <row r="1245" spans="1:2" x14ac:dyDescent="0.25">
      <c r="A1245" t="s">
        <v>616</v>
      </c>
      <c r="B1245" t="s">
        <v>1910</v>
      </c>
    </row>
    <row r="1246" spans="1:2" x14ac:dyDescent="0.25">
      <c r="A1246" t="s">
        <v>622</v>
      </c>
      <c r="B1246" t="s">
        <v>2229</v>
      </c>
    </row>
    <row r="1247" spans="1:2" x14ac:dyDescent="0.25">
      <c r="A1247" t="s">
        <v>606</v>
      </c>
      <c r="B1247" t="s">
        <v>962</v>
      </c>
    </row>
    <row r="1248" spans="1:2" x14ac:dyDescent="0.25">
      <c r="A1248" t="s">
        <v>610</v>
      </c>
      <c r="B1248" t="s">
        <v>962</v>
      </c>
    </row>
    <row r="1249" spans="1:2" x14ac:dyDescent="0.25">
      <c r="A1249" t="s">
        <v>612</v>
      </c>
      <c r="B1249" t="s">
        <v>962</v>
      </c>
    </row>
    <row r="1250" spans="1:2" x14ac:dyDescent="0.25">
      <c r="A1250" t="s">
        <v>616</v>
      </c>
      <c r="B1250" t="s">
        <v>962</v>
      </c>
    </row>
    <row r="1251" spans="1:2" x14ac:dyDescent="0.25">
      <c r="A1251" t="s">
        <v>620</v>
      </c>
      <c r="B1251" t="s">
        <v>962</v>
      </c>
    </row>
    <row r="1252" spans="1:2" x14ac:dyDescent="0.25">
      <c r="A1252" t="s">
        <v>623</v>
      </c>
      <c r="B1252" t="s">
        <v>962</v>
      </c>
    </row>
    <row r="1253" spans="1:2" x14ac:dyDescent="0.25">
      <c r="A1253" t="s">
        <v>624</v>
      </c>
      <c r="B1253" t="s">
        <v>962</v>
      </c>
    </row>
    <row r="1254" spans="1:2" x14ac:dyDescent="0.25">
      <c r="A1254" t="s">
        <v>628</v>
      </c>
      <c r="B1254" t="s">
        <v>962</v>
      </c>
    </row>
    <row r="1255" spans="1:2" x14ac:dyDescent="0.25">
      <c r="A1255" t="s">
        <v>631</v>
      </c>
      <c r="B1255" t="s">
        <v>962</v>
      </c>
    </row>
    <row r="1256" spans="1:2" x14ac:dyDescent="0.25">
      <c r="A1256" t="s">
        <v>623</v>
      </c>
      <c r="B1256" t="s">
        <v>2262</v>
      </c>
    </row>
    <row r="1257" spans="1:2" x14ac:dyDescent="0.25">
      <c r="A1257" t="s">
        <v>616</v>
      </c>
      <c r="B1257" t="s">
        <v>1917</v>
      </c>
    </row>
    <row r="1258" spans="1:2" x14ac:dyDescent="0.25">
      <c r="A1258" t="s">
        <v>605</v>
      </c>
      <c r="B1258" t="s">
        <v>926</v>
      </c>
    </row>
    <row r="1259" spans="1:2" x14ac:dyDescent="0.25">
      <c r="A1259" t="s">
        <v>618</v>
      </c>
      <c r="B1259" t="s">
        <v>926</v>
      </c>
    </row>
    <row r="1260" spans="1:2" x14ac:dyDescent="0.25">
      <c r="A1260" t="s">
        <v>601</v>
      </c>
      <c r="B1260" t="s">
        <v>1135</v>
      </c>
    </row>
    <row r="1261" spans="1:2" x14ac:dyDescent="0.25">
      <c r="A1261" t="s">
        <v>608</v>
      </c>
      <c r="B1261" t="s">
        <v>1492</v>
      </c>
    </row>
    <row r="1262" spans="1:2" x14ac:dyDescent="0.25">
      <c r="A1262" t="s">
        <v>604</v>
      </c>
      <c r="B1262" t="s">
        <v>1287</v>
      </c>
    </row>
    <row r="1263" spans="1:2" x14ac:dyDescent="0.25">
      <c r="A1263" t="s">
        <v>611</v>
      </c>
      <c r="B1263" t="s">
        <v>1673</v>
      </c>
    </row>
    <row r="1264" spans="1:2" x14ac:dyDescent="0.25">
      <c r="A1264" t="s">
        <v>612</v>
      </c>
      <c r="B1264" t="s">
        <v>1673</v>
      </c>
    </row>
    <row r="1265" spans="1:2" x14ac:dyDescent="0.25">
      <c r="A1265" t="s">
        <v>611</v>
      </c>
      <c r="B1265" t="s">
        <v>1698</v>
      </c>
    </row>
    <row r="1266" spans="1:2" x14ac:dyDescent="0.25">
      <c r="A1266" t="s">
        <v>612</v>
      </c>
      <c r="B1266" t="s">
        <v>1698</v>
      </c>
    </row>
    <row r="1267" spans="1:2" x14ac:dyDescent="0.25">
      <c r="A1267" t="s">
        <v>2808</v>
      </c>
      <c r="B1267" t="s">
        <v>2620</v>
      </c>
    </row>
    <row r="1268" spans="1:2" x14ac:dyDescent="0.25">
      <c r="A1268" t="s">
        <v>616</v>
      </c>
      <c r="B1268" t="s">
        <v>135</v>
      </c>
    </row>
    <row r="1269" spans="1:2" x14ac:dyDescent="0.25">
      <c r="A1269" t="s">
        <v>617</v>
      </c>
      <c r="B1269" t="s">
        <v>135</v>
      </c>
    </row>
    <row r="1270" spans="1:2" x14ac:dyDescent="0.25">
      <c r="A1270" t="s">
        <v>611</v>
      </c>
      <c r="B1270" t="s">
        <v>1682</v>
      </c>
    </row>
    <row r="1271" spans="1:2" x14ac:dyDescent="0.25">
      <c r="A1271" t="s">
        <v>612</v>
      </c>
      <c r="B1271" t="s">
        <v>1682</v>
      </c>
    </row>
    <row r="1272" spans="1:2" x14ac:dyDescent="0.25">
      <c r="A1272" t="s">
        <v>623</v>
      </c>
      <c r="B1272" t="s">
        <v>2243</v>
      </c>
    </row>
    <row r="1273" spans="1:2" x14ac:dyDescent="0.25">
      <c r="A1273" t="s">
        <v>601</v>
      </c>
      <c r="B1273" t="s">
        <v>1124</v>
      </c>
    </row>
    <row r="1274" spans="1:2" x14ac:dyDescent="0.25">
      <c r="A1274" t="s">
        <v>611</v>
      </c>
      <c r="B1274" t="s">
        <v>1689</v>
      </c>
    </row>
    <row r="1275" spans="1:2" x14ac:dyDescent="0.25">
      <c r="A1275" t="s">
        <v>608</v>
      </c>
      <c r="B1275" t="s">
        <v>1489</v>
      </c>
    </row>
    <row r="1276" spans="1:2" x14ac:dyDescent="0.25">
      <c r="A1276" t="s">
        <v>618</v>
      </c>
      <c r="B1276" t="s">
        <v>2056</v>
      </c>
    </row>
    <row r="1277" spans="1:2" x14ac:dyDescent="0.25">
      <c r="A1277" t="s">
        <v>1045</v>
      </c>
      <c r="B1277" t="s">
        <v>1049</v>
      </c>
    </row>
    <row r="1278" spans="1:2" x14ac:dyDescent="0.25">
      <c r="A1278" t="s">
        <v>623</v>
      </c>
      <c r="B1278" t="s">
        <v>2246</v>
      </c>
    </row>
    <row r="1279" spans="1:2" x14ac:dyDescent="0.25">
      <c r="A1279" t="s">
        <v>607</v>
      </c>
      <c r="B1279" t="s">
        <v>1412</v>
      </c>
    </row>
    <row r="1280" spans="1:2" x14ac:dyDescent="0.25">
      <c r="A1280" t="s">
        <v>604</v>
      </c>
      <c r="B1280" t="s">
        <v>1257</v>
      </c>
    </row>
    <row r="1281" spans="1:2" x14ac:dyDescent="0.25">
      <c r="A1281" t="s">
        <v>614</v>
      </c>
      <c r="B1281" t="s">
        <v>1257</v>
      </c>
    </row>
    <row r="1282" spans="1:2" x14ac:dyDescent="0.25">
      <c r="A1282" t="s">
        <v>831</v>
      </c>
      <c r="B1282" t="s">
        <v>1729</v>
      </c>
    </row>
    <row r="1283" spans="1:2" x14ac:dyDescent="0.25">
      <c r="A1283" t="s">
        <v>831</v>
      </c>
      <c r="B1283" t="s">
        <v>1743</v>
      </c>
    </row>
    <row r="1284" spans="1:2" x14ac:dyDescent="0.25">
      <c r="A1284" t="s">
        <v>607</v>
      </c>
      <c r="B1284" t="s">
        <v>1436</v>
      </c>
    </row>
    <row r="1285" spans="1:2" x14ac:dyDescent="0.25">
      <c r="A1285" t="s">
        <v>628</v>
      </c>
      <c r="B1285" t="s">
        <v>1436</v>
      </c>
    </row>
    <row r="1286" spans="1:2" x14ac:dyDescent="0.25">
      <c r="A1286" t="s">
        <v>603</v>
      </c>
      <c r="B1286" t="s">
        <v>35</v>
      </c>
    </row>
    <row r="1287" spans="1:2" x14ac:dyDescent="0.25">
      <c r="A1287" t="s">
        <v>618</v>
      </c>
      <c r="B1287" t="s">
        <v>35</v>
      </c>
    </row>
    <row r="1288" spans="1:2" x14ac:dyDescent="0.25">
      <c r="A1288" t="s">
        <v>2808</v>
      </c>
      <c r="B1288" t="s">
        <v>2302</v>
      </c>
    </row>
    <row r="1289" spans="1:2" x14ac:dyDescent="0.25">
      <c r="A1289" t="s">
        <v>620</v>
      </c>
      <c r="B1289" t="s">
        <v>2767</v>
      </c>
    </row>
    <row r="1290" spans="1:2" x14ac:dyDescent="0.25">
      <c r="A1290" t="s">
        <v>620</v>
      </c>
      <c r="B1290" t="s">
        <v>2168</v>
      </c>
    </row>
    <row r="1291" spans="1:2" x14ac:dyDescent="0.25">
      <c r="A1291" t="s">
        <v>620</v>
      </c>
      <c r="B1291" t="s">
        <v>2179</v>
      </c>
    </row>
    <row r="1292" spans="1:2" x14ac:dyDescent="0.25">
      <c r="A1292" t="s">
        <v>607</v>
      </c>
      <c r="B1292" t="s">
        <v>1410</v>
      </c>
    </row>
    <row r="1293" spans="1:2" x14ac:dyDescent="0.25">
      <c r="A1293" t="s">
        <v>623</v>
      </c>
      <c r="B1293" t="s">
        <v>2275</v>
      </c>
    </row>
    <row r="1294" spans="1:2" x14ac:dyDescent="0.25">
      <c r="A1294" t="s">
        <v>635</v>
      </c>
      <c r="B1294" t="s">
        <v>1047</v>
      </c>
    </row>
    <row r="1295" spans="1:2" x14ac:dyDescent="0.25">
      <c r="A1295" t="s">
        <v>623</v>
      </c>
      <c r="B1295" t="s">
        <v>1047</v>
      </c>
    </row>
    <row r="1296" spans="1:2" x14ac:dyDescent="0.25">
      <c r="A1296" t="s">
        <v>627</v>
      </c>
      <c r="B1296" t="s">
        <v>1047</v>
      </c>
    </row>
    <row r="1297" spans="1:2" x14ac:dyDescent="0.25">
      <c r="A1297" t="s">
        <v>613</v>
      </c>
      <c r="B1297" t="s">
        <v>39</v>
      </c>
    </row>
    <row r="1298" spans="1:2" x14ac:dyDescent="0.25">
      <c r="A1298" t="s">
        <v>606</v>
      </c>
      <c r="B1298" t="s">
        <v>1378</v>
      </c>
    </row>
    <row r="1299" spans="1:2" x14ac:dyDescent="0.25">
      <c r="A1299" t="s">
        <v>617</v>
      </c>
      <c r="B1299" t="s">
        <v>1378</v>
      </c>
    </row>
    <row r="1300" spans="1:2" x14ac:dyDescent="0.25">
      <c r="A1300" t="s">
        <v>619</v>
      </c>
      <c r="B1300" t="s">
        <v>1378</v>
      </c>
    </row>
    <row r="1301" spans="1:2" x14ac:dyDescent="0.25">
      <c r="A1301" t="s">
        <v>629</v>
      </c>
      <c r="B1301" t="s">
        <v>1378</v>
      </c>
    </row>
    <row r="1302" spans="1:2" x14ac:dyDescent="0.25">
      <c r="A1302" t="s">
        <v>615</v>
      </c>
      <c r="B1302" t="s">
        <v>130</v>
      </c>
    </row>
    <row r="1303" spans="1:2" x14ac:dyDescent="0.25">
      <c r="A1303" t="s">
        <v>617</v>
      </c>
      <c r="B1303" t="s">
        <v>130</v>
      </c>
    </row>
    <row r="1304" spans="1:2" x14ac:dyDescent="0.25">
      <c r="A1304" t="s">
        <v>602</v>
      </c>
      <c r="B1304" t="s">
        <v>1153</v>
      </c>
    </row>
    <row r="1305" spans="1:2" x14ac:dyDescent="0.25">
      <c r="A1305" t="s">
        <v>613</v>
      </c>
      <c r="B1305" t="s">
        <v>1153</v>
      </c>
    </row>
    <row r="1306" spans="1:2" x14ac:dyDescent="0.25">
      <c r="A1306" t="s">
        <v>620</v>
      </c>
      <c r="B1306" t="s">
        <v>1153</v>
      </c>
    </row>
    <row r="1307" spans="1:2" x14ac:dyDescent="0.25">
      <c r="A1307" t="s">
        <v>627</v>
      </c>
      <c r="B1307" t="s">
        <v>1153</v>
      </c>
    </row>
    <row r="1308" spans="1:2" x14ac:dyDescent="0.25">
      <c r="A1308" t="s">
        <v>612</v>
      </c>
      <c r="B1308" t="s">
        <v>700</v>
      </c>
    </row>
    <row r="1309" spans="1:2" x14ac:dyDescent="0.25">
      <c r="A1309" t="s">
        <v>607</v>
      </c>
      <c r="B1309" t="s">
        <v>197</v>
      </c>
    </row>
    <row r="1310" spans="1:2" x14ac:dyDescent="0.25">
      <c r="A1310" t="s">
        <v>630</v>
      </c>
      <c r="B1310" t="s">
        <v>197</v>
      </c>
    </row>
    <row r="1311" spans="1:2" x14ac:dyDescent="0.25">
      <c r="A1311" t="s">
        <v>605</v>
      </c>
      <c r="B1311" t="s">
        <v>1337</v>
      </c>
    </row>
    <row r="1312" spans="1:2" x14ac:dyDescent="0.25">
      <c r="A1312" t="s">
        <v>601</v>
      </c>
      <c r="B1312" t="s">
        <v>1148</v>
      </c>
    </row>
    <row r="1313" spans="1:2" x14ac:dyDescent="0.25">
      <c r="A1313" t="s">
        <v>613</v>
      </c>
      <c r="B1313" t="s">
        <v>1783</v>
      </c>
    </row>
    <row r="1314" spans="1:2" x14ac:dyDescent="0.25">
      <c r="A1314" t="s">
        <v>623</v>
      </c>
      <c r="B1314" t="s">
        <v>2288</v>
      </c>
    </row>
    <row r="1315" spans="1:2" x14ac:dyDescent="0.25">
      <c r="A1315" t="s">
        <v>609</v>
      </c>
      <c r="B1315" t="s">
        <v>1526</v>
      </c>
    </row>
    <row r="1316" spans="1:2" x14ac:dyDescent="0.25">
      <c r="A1316" t="s">
        <v>622</v>
      </c>
      <c r="B1316" t="s">
        <v>2238</v>
      </c>
    </row>
    <row r="1317" spans="1:2" x14ac:dyDescent="0.25">
      <c r="A1317" t="s">
        <v>2808</v>
      </c>
      <c r="B1317" t="s">
        <v>2297</v>
      </c>
    </row>
    <row r="1318" spans="1:2" x14ac:dyDescent="0.25">
      <c r="A1318" t="s">
        <v>605</v>
      </c>
      <c r="B1318" t="s">
        <v>1320</v>
      </c>
    </row>
    <row r="1319" spans="1:2" x14ac:dyDescent="0.25">
      <c r="A1319" t="s">
        <v>632</v>
      </c>
      <c r="B1319" t="s">
        <v>1320</v>
      </c>
    </row>
    <row r="1320" spans="1:2" x14ac:dyDescent="0.25">
      <c r="A1320" t="s">
        <v>613</v>
      </c>
      <c r="B1320" t="s">
        <v>1785</v>
      </c>
    </row>
    <row r="1321" spans="1:2" x14ac:dyDescent="0.25">
      <c r="A1321" t="s">
        <v>605</v>
      </c>
      <c r="B1321" t="s">
        <v>1321</v>
      </c>
    </row>
    <row r="1322" spans="1:2" x14ac:dyDescent="0.25">
      <c r="A1322" t="s">
        <v>633</v>
      </c>
      <c r="B1322" t="s">
        <v>1321</v>
      </c>
    </row>
    <row r="1323" spans="1:2" x14ac:dyDescent="0.25">
      <c r="A1323" t="s">
        <v>831</v>
      </c>
      <c r="B1323" t="s">
        <v>1754</v>
      </c>
    </row>
    <row r="1324" spans="1:2" x14ac:dyDescent="0.25">
      <c r="A1324" t="s">
        <v>2808</v>
      </c>
      <c r="B1324" t="s">
        <v>2825</v>
      </c>
    </row>
    <row r="1325" spans="1:2" x14ac:dyDescent="0.25">
      <c r="A1325" t="s">
        <v>953</v>
      </c>
      <c r="B1325" t="s">
        <v>1002</v>
      </c>
    </row>
    <row r="1326" spans="1:2" x14ac:dyDescent="0.25">
      <c r="A1326" t="s">
        <v>603</v>
      </c>
      <c r="B1326" t="s">
        <v>1218</v>
      </c>
    </row>
    <row r="1327" spans="1:2" x14ac:dyDescent="0.25">
      <c r="A1327" t="s">
        <v>610</v>
      </c>
      <c r="B1327" t="s">
        <v>1218</v>
      </c>
    </row>
    <row r="1328" spans="1:2" x14ac:dyDescent="0.25">
      <c r="A1328" t="s">
        <v>606</v>
      </c>
      <c r="B1328" t="s">
        <v>2743</v>
      </c>
    </row>
    <row r="1329" spans="1:2" x14ac:dyDescent="0.25">
      <c r="A1329" t="s">
        <v>614</v>
      </c>
      <c r="B1329" t="s">
        <v>1837</v>
      </c>
    </row>
    <row r="1330" spans="1:2" x14ac:dyDescent="0.25">
      <c r="A1330" t="s">
        <v>632</v>
      </c>
      <c r="B1330" t="s">
        <v>2552</v>
      </c>
    </row>
    <row r="1331" spans="1:2" x14ac:dyDescent="0.25">
      <c r="A1331" t="s">
        <v>614</v>
      </c>
      <c r="B1331" t="s">
        <v>1846</v>
      </c>
    </row>
    <row r="1332" spans="1:2" x14ac:dyDescent="0.25">
      <c r="A1332" t="s">
        <v>616</v>
      </c>
      <c r="B1332" t="s">
        <v>1846</v>
      </c>
    </row>
    <row r="1333" spans="1:2" x14ac:dyDescent="0.25">
      <c r="A1333" t="s">
        <v>627</v>
      </c>
      <c r="B1333" t="s">
        <v>1846</v>
      </c>
    </row>
    <row r="1334" spans="1:2" x14ac:dyDescent="0.25">
      <c r="A1334" t="s">
        <v>631</v>
      </c>
      <c r="B1334" t="s">
        <v>1846</v>
      </c>
    </row>
    <row r="1335" spans="1:2" x14ac:dyDescent="0.25">
      <c r="A1335" t="s">
        <v>619</v>
      </c>
      <c r="B1335" t="s">
        <v>2100</v>
      </c>
    </row>
    <row r="1336" spans="1:2" x14ac:dyDescent="0.25">
      <c r="A1336" t="s">
        <v>619</v>
      </c>
      <c r="B1336" t="s">
        <v>2105</v>
      </c>
    </row>
    <row r="1337" spans="1:2" x14ac:dyDescent="0.25">
      <c r="A1337" t="s">
        <v>617</v>
      </c>
      <c r="B1337" t="s">
        <v>807</v>
      </c>
    </row>
    <row r="1338" spans="1:2" x14ac:dyDescent="0.25">
      <c r="A1338" t="s">
        <v>631</v>
      </c>
      <c r="B1338" t="s">
        <v>2517</v>
      </c>
    </row>
    <row r="1339" spans="1:2" x14ac:dyDescent="0.25">
      <c r="A1339" t="s">
        <v>604</v>
      </c>
      <c r="B1339" t="s">
        <v>1293</v>
      </c>
    </row>
    <row r="1340" spans="1:2" x14ac:dyDescent="0.25">
      <c r="A1340" t="s">
        <v>613</v>
      </c>
      <c r="B1340" t="s">
        <v>1293</v>
      </c>
    </row>
    <row r="1341" spans="1:2" x14ac:dyDescent="0.25">
      <c r="A1341" t="s">
        <v>611</v>
      </c>
      <c r="B1341" t="s">
        <v>1676</v>
      </c>
    </row>
    <row r="1342" spans="1:2" x14ac:dyDescent="0.25">
      <c r="A1342" t="s">
        <v>612</v>
      </c>
      <c r="B1342" t="s">
        <v>1676</v>
      </c>
    </row>
    <row r="1343" spans="1:2" x14ac:dyDescent="0.25">
      <c r="A1343" t="s">
        <v>612</v>
      </c>
      <c r="B1343" t="s">
        <v>90</v>
      </c>
    </row>
    <row r="1344" spans="1:2" x14ac:dyDescent="0.25">
      <c r="A1344" t="s">
        <v>611</v>
      </c>
      <c r="B1344" t="s">
        <v>1677</v>
      </c>
    </row>
    <row r="1345" spans="1:2" x14ac:dyDescent="0.25">
      <c r="A1345" t="s">
        <v>612</v>
      </c>
      <c r="B1345" t="s">
        <v>1677</v>
      </c>
    </row>
    <row r="1346" spans="1:2" x14ac:dyDescent="0.25">
      <c r="A1346" t="s">
        <v>606</v>
      </c>
      <c r="B1346" t="s">
        <v>1409</v>
      </c>
    </row>
    <row r="1347" spans="1:2" x14ac:dyDescent="0.25">
      <c r="A1347" t="s">
        <v>2616</v>
      </c>
      <c r="B1347" t="s">
        <v>2652</v>
      </c>
    </row>
    <row r="1348" spans="1:2" x14ac:dyDescent="0.25">
      <c r="A1348" t="s">
        <v>613</v>
      </c>
      <c r="B1348" t="s">
        <v>1781</v>
      </c>
    </row>
    <row r="1349" spans="1:2" x14ac:dyDescent="0.25">
      <c r="A1349" t="s">
        <v>601</v>
      </c>
      <c r="B1349" t="s">
        <v>1138</v>
      </c>
    </row>
    <row r="1350" spans="1:2" x14ac:dyDescent="0.25">
      <c r="A1350" t="s">
        <v>613</v>
      </c>
      <c r="B1350" t="s">
        <v>1138</v>
      </c>
    </row>
    <row r="1351" spans="1:2" x14ac:dyDescent="0.25">
      <c r="A1351" t="s">
        <v>1012</v>
      </c>
      <c r="B1351" t="s">
        <v>1138</v>
      </c>
    </row>
    <row r="1352" spans="1:2" x14ac:dyDescent="0.25">
      <c r="A1352" t="s">
        <v>607</v>
      </c>
      <c r="B1352" t="s">
        <v>1464</v>
      </c>
    </row>
    <row r="1353" spans="1:2" x14ac:dyDescent="0.25">
      <c r="A1353" t="s">
        <v>635</v>
      </c>
      <c r="B1353" t="s">
        <v>1995</v>
      </c>
    </row>
    <row r="1354" spans="1:2" x14ac:dyDescent="0.25">
      <c r="A1354" t="s">
        <v>2808</v>
      </c>
      <c r="B1354" t="s">
        <v>2322</v>
      </c>
    </row>
    <row r="1355" spans="1:2" x14ac:dyDescent="0.25">
      <c r="A1355" t="s">
        <v>616</v>
      </c>
      <c r="B1355" t="s">
        <v>1929</v>
      </c>
    </row>
    <row r="1356" spans="1:2" x14ac:dyDescent="0.25">
      <c r="A1356" t="s">
        <v>633</v>
      </c>
      <c r="B1356" t="s">
        <v>2561</v>
      </c>
    </row>
    <row r="1357" spans="1:2" x14ac:dyDescent="0.25">
      <c r="A1357" t="s">
        <v>2808</v>
      </c>
      <c r="B1357" t="s">
        <v>2318</v>
      </c>
    </row>
    <row r="1358" spans="1:2" x14ac:dyDescent="0.25">
      <c r="A1358" t="s">
        <v>629</v>
      </c>
      <c r="B1358" t="s">
        <v>2441</v>
      </c>
    </row>
    <row r="1359" spans="1:2" x14ac:dyDescent="0.25">
      <c r="A1359" t="s">
        <v>613</v>
      </c>
      <c r="B1359" t="s">
        <v>2789</v>
      </c>
    </row>
    <row r="1360" spans="1:2" x14ac:dyDescent="0.25">
      <c r="A1360" t="s">
        <v>620</v>
      </c>
      <c r="B1360" t="s">
        <v>2162</v>
      </c>
    </row>
    <row r="1361" spans="1:2" x14ac:dyDescent="0.25">
      <c r="A1361" t="s">
        <v>635</v>
      </c>
      <c r="B1361" t="s">
        <v>1989</v>
      </c>
    </row>
    <row r="1362" spans="1:2" x14ac:dyDescent="0.25">
      <c r="A1362" t="s">
        <v>619</v>
      </c>
      <c r="B1362" t="s">
        <v>2091</v>
      </c>
    </row>
    <row r="1363" spans="1:2" x14ac:dyDescent="0.25">
      <c r="A1363" t="s">
        <v>620</v>
      </c>
      <c r="B1363" t="s">
        <v>2178</v>
      </c>
    </row>
    <row r="1364" spans="1:2" x14ac:dyDescent="0.25">
      <c r="A1364" t="s">
        <v>609</v>
      </c>
      <c r="B1364" t="s">
        <v>1578</v>
      </c>
    </row>
    <row r="1365" spans="1:2" x14ac:dyDescent="0.25">
      <c r="A1365" t="s">
        <v>602</v>
      </c>
      <c r="B1365" t="s">
        <v>1192</v>
      </c>
    </row>
    <row r="1366" spans="1:2" x14ac:dyDescent="0.25">
      <c r="A1366" t="s">
        <v>622</v>
      </c>
      <c r="B1366" t="s">
        <v>2210</v>
      </c>
    </row>
    <row r="1367" spans="1:2" x14ac:dyDescent="0.25">
      <c r="A1367" t="s">
        <v>607</v>
      </c>
      <c r="B1367" t="s">
        <v>1452</v>
      </c>
    </row>
    <row r="1368" spans="1:2" x14ac:dyDescent="0.25">
      <c r="A1368" t="s">
        <v>602</v>
      </c>
      <c r="B1368" t="s">
        <v>1158</v>
      </c>
    </row>
    <row r="1369" spans="1:2" x14ac:dyDescent="0.25">
      <c r="A1369" t="s">
        <v>633</v>
      </c>
      <c r="B1369" t="s">
        <v>1158</v>
      </c>
    </row>
    <row r="1370" spans="1:2" x14ac:dyDescent="0.25">
      <c r="A1370" t="s">
        <v>602</v>
      </c>
      <c r="B1370" t="s">
        <v>1175</v>
      </c>
    </row>
    <row r="1371" spans="1:2" x14ac:dyDescent="0.25">
      <c r="A1371" t="s">
        <v>601</v>
      </c>
      <c r="B1371" t="s">
        <v>2832</v>
      </c>
    </row>
    <row r="1372" spans="1:2" x14ac:dyDescent="0.25">
      <c r="A1372" t="s">
        <v>831</v>
      </c>
      <c r="B1372" t="s">
        <v>1777</v>
      </c>
    </row>
    <row r="1373" spans="1:2" x14ac:dyDescent="0.25">
      <c r="A1373" t="s">
        <v>630</v>
      </c>
      <c r="B1373" t="s">
        <v>2483</v>
      </c>
    </row>
    <row r="1374" spans="1:2" x14ac:dyDescent="0.25">
      <c r="A1374" t="s">
        <v>633</v>
      </c>
      <c r="B1374" t="s">
        <v>2575</v>
      </c>
    </row>
    <row r="1375" spans="1:2" x14ac:dyDescent="0.25">
      <c r="A1375" t="s">
        <v>831</v>
      </c>
      <c r="B1375" t="s">
        <v>1779</v>
      </c>
    </row>
    <row r="1376" spans="1:2" x14ac:dyDescent="0.25">
      <c r="A1376" t="s">
        <v>2616</v>
      </c>
      <c r="B1376" t="s">
        <v>1443</v>
      </c>
    </row>
    <row r="1377" spans="1:2" x14ac:dyDescent="0.25">
      <c r="A1377" t="s">
        <v>607</v>
      </c>
      <c r="B1377" t="s">
        <v>1443</v>
      </c>
    </row>
    <row r="1378" spans="1:2" x14ac:dyDescent="0.25">
      <c r="A1378" t="s">
        <v>613</v>
      </c>
      <c r="B1378" t="s">
        <v>1809</v>
      </c>
    </row>
    <row r="1379" spans="1:2" x14ac:dyDescent="0.25">
      <c r="A1379" t="s">
        <v>631</v>
      </c>
      <c r="B1379" t="s">
        <v>2526</v>
      </c>
    </row>
    <row r="1380" spans="1:2" x14ac:dyDescent="0.25">
      <c r="A1380" t="s">
        <v>604</v>
      </c>
      <c r="B1380" t="s">
        <v>49</v>
      </c>
    </row>
    <row r="1381" spans="1:2" x14ac:dyDescent="0.25">
      <c r="A1381" t="s">
        <v>605</v>
      </c>
      <c r="B1381" t="s">
        <v>49</v>
      </c>
    </row>
    <row r="1382" spans="1:2" x14ac:dyDescent="0.25">
      <c r="A1382" t="s">
        <v>608</v>
      </c>
      <c r="B1382" t="s">
        <v>49</v>
      </c>
    </row>
    <row r="1383" spans="1:2" x14ac:dyDescent="0.25">
      <c r="A1383" t="s">
        <v>616</v>
      </c>
      <c r="B1383" t="s">
        <v>49</v>
      </c>
    </row>
    <row r="1384" spans="1:2" x14ac:dyDescent="0.25">
      <c r="A1384" t="s">
        <v>622</v>
      </c>
      <c r="B1384" t="s">
        <v>49</v>
      </c>
    </row>
    <row r="1385" spans="1:2" x14ac:dyDescent="0.25">
      <c r="A1385" t="s">
        <v>622</v>
      </c>
      <c r="B1385" t="s">
        <v>2705</v>
      </c>
    </row>
    <row r="1386" spans="1:2" x14ac:dyDescent="0.25">
      <c r="A1386" t="s">
        <v>619</v>
      </c>
      <c r="B1386" t="s">
        <v>2119</v>
      </c>
    </row>
    <row r="1387" spans="1:2" x14ac:dyDescent="0.25">
      <c r="A1387" t="s">
        <v>623</v>
      </c>
      <c r="B1387" t="s">
        <v>2261</v>
      </c>
    </row>
    <row r="1388" spans="1:2" x14ac:dyDescent="0.25">
      <c r="A1388" t="s">
        <v>601</v>
      </c>
      <c r="B1388" t="s">
        <v>1117</v>
      </c>
    </row>
    <row r="1389" spans="1:2" x14ac:dyDescent="0.25">
      <c r="A1389" t="s">
        <v>602</v>
      </c>
      <c r="B1389" t="s">
        <v>1179</v>
      </c>
    </row>
    <row r="1390" spans="1:2" x14ac:dyDescent="0.25">
      <c r="A1390" t="s">
        <v>606</v>
      </c>
      <c r="B1390" t="s">
        <v>123</v>
      </c>
    </row>
    <row r="1391" spans="1:2" x14ac:dyDescent="0.25">
      <c r="A1391" t="s">
        <v>615</v>
      </c>
      <c r="B1391" t="s">
        <v>123</v>
      </c>
    </row>
    <row r="1392" spans="1:2" x14ac:dyDescent="0.25">
      <c r="A1392" t="s">
        <v>624</v>
      </c>
      <c r="B1392" t="s">
        <v>123</v>
      </c>
    </row>
    <row r="1393" spans="1:2" x14ac:dyDescent="0.25">
      <c r="A1393" t="s">
        <v>627</v>
      </c>
      <c r="B1393" t="s">
        <v>123</v>
      </c>
    </row>
    <row r="1394" spans="1:2" x14ac:dyDescent="0.25">
      <c r="A1394" t="s">
        <v>610</v>
      </c>
      <c r="B1394" t="s">
        <v>712</v>
      </c>
    </row>
    <row r="1395" spans="1:2" x14ac:dyDescent="0.25">
      <c r="A1395" t="s">
        <v>618</v>
      </c>
      <c r="B1395" t="s">
        <v>712</v>
      </c>
    </row>
    <row r="1396" spans="1:2" x14ac:dyDescent="0.25">
      <c r="A1396" t="s">
        <v>602</v>
      </c>
      <c r="B1396" t="s">
        <v>1191</v>
      </c>
    </row>
    <row r="1397" spans="1:2" x14ac:dyDescent="0.25">
      <c r="A1397" t="s">
        <v>608</v>
      </c>
      <c r="B1397" t="s">
        <v>1479</v>
      </c>
    </row>
    <row r="1398" spans="1:2" x14ac:dyDescent="0.25">
      <c r="A1398" t="s">
        <v>1012</v>
      </c>
      <c r="B1398" t="s">
        <v>1479</v>
      </c>
    </row>
    <row r="1399" spans="1:2" x14ac:dyDescent="0.25">
      <c r="A1399" t="s">
        <v>632</v>
      </c>
      <c r="B1399" t="s">
        <v>1479</v>
      </c>
    </row>
    <row r="1400" spans="1:2" x14ac:dyDescent="0.25">
      <c r="A1400" t="s">
        <v>2808</v>
      </c>
      <c r="B1400" t="s">
        <v>2296</v>
      </c>
    </row>
    <row r="1401" spans="1:2" x14ac:dyDescent="0.25">
      <c r="A1401" t="s">
        <v>601</v>
      </c>
      <c r="B1401" t="s">
        <v>1048</v>
      </c>
    </row>
    <row r="1402" spans="1:2" x14ac:dyDescent="0.25">
      <c r="A1402" t="s">
        <v>608</v>
      </c>
      <c r="B1402" t="s">
        <v>1048</v>
      </c>
    </row>
    <row r="1403" spans="1:2" x14ac:dyDescent="0.25">
      <c r="A1403" t="s">
        <v>831</v>
      </c>
      <c r="B1403" t="s">
        <v>1048</v>
      </c>
    </row>
    <row r="1404" spans="1:2" x14ac:dyDescent="0.25">
      <c r="A1404" t="s">
        <v>613</v>
      </c>
      <c r="B1404" t="s">
        <v>1048</v>
      </c>
    </row>
    <row r="1405" spans="1:2" x14ac:dyDescent="0.25">
      <c r="A1405" t="s">
        <v>618</v>
      </c>
      <c r="B1405" t="s">
        <v>1048</v>
      </c>
    </row>
    <row r="1406" spans="1:2" x14ac:dyDescent="0.25">
      <c r="A1406" t="s">
        <v>915</v>
      </c>
      <c r="B1406" t="s">
        <v>1048</v>
      </c>
    </row>
    <row r="1407" spans="1:2" x14ac:dyDescent="0.25">
      <c r="A1407" t="s">
        <v>1045</v>
      </c>
      <c r="B1407" t="s">
        <v>2079</v>
      </c>
    </row>
    <row r="1408" spans="1:2" x14ac:dyDescent="0.25">
      <c r="A1408" t="s">
        <v>632</v>
      </c>
      <c r="B1408" t="s">
        <v>2780</v>
      </c>
    </row>
    <row r="1409" spans="1:2" x14ac:dyDescent="0.25">
      <c r="A1409" t="s">
        <v>622</v>
      </c>
      <c r="B1409" t="s">
        <v>2197</v>
      </c>
    </row>
    <row r="1410" spans="1:2" x14ac:dyDescent="0.25">
      <c r="A1410" t="s">
        <v>606</v>
      </c>
      <c r="B1410" t="s">
        <v>1377</v>
      </c>
    </row>
    <row r="1411" spans="1:2" x14ac:dyDescent="0.25">
      <c r="A1411" t="s">
        <v>614</v>
      </c>
      <c r="B1411" t="s">
        <v>1377</v>
      </c>
    </row>
    <row r="1412" spans="1:2" x14ac:dyDescent="0.25">
      <c r="A1412" t="s">
        <v>627</v>
      </c>
      <c r="B1412" t="s">
        <v>1377</v>
      </c>
    </row>
    <row r="1413" spans="1:2" x14ac:dyDescent="0.25">
      <c r="A1413" t="s">
        <v>633</v>
      </c>
      <c r="B1413" t="s">
        <v>1377</v>
      </c>
    </row>
    <row r="1414" spans="1:2" x14ac:dyDescent="0.25">
      <c r="A1414" t="s">
        <v>1012</v>
      </c>
      <c r="B1414" t="s">
        <v>1025</v>
      </c>
    </row>
    <row r="1415" spans="1:2" x14ac:dyDescent="0.25">
      <c r="A1415" t="s">
        <v>633</v>
      </c>
      <c r="B1415" t="s">
        <v>2564</v>
      </c>
    </row>
    <row r="1416" spans="1:2" x14ac:dyDescent="0.25">
      <c r="A1416" t="s">
        <v>953</v>
      </c>
      <c r="B1416" t="s">
        <v>997</v>
      </c>
    </row>
    <row r="1417" spans="1:2" x14ac:dyDescent="0.25">
      <c r="A1417" t="s">
        <v>602</v>
      </c>
      <c r="B1417" t="s">
        <v>32</v>
      </c>
    </row>
    <row r="1418" spans="1:2" x14ac:dyDescent="0.25">
      <c r="A1418" t="s">
        <v>606</v>
      </c>
      <c r="B1418" t="s">
        <v>1404</v>
      </c>
    </row>
    <row r="1419" spans="1:2" x14ac:dyDescent="0.25">
      <c r="A1419" t="s">
        <v>614</v>
      </c>
      <c r="B1419" t="s">
        <v>1404</v>
      </c>
    </row>
    <row r="1420" spans="1:2" x14ac:dyDescent="0.25">
      <c r="A1420" t="s">
        <v>1012</v>
      </c>
      <c r="B1420" t="s">
        <v>1610</v>
      </c>
    </row>
    <row r="1421" spans="1:2" x14ac:dyDescent="0.25">
      <c r="A1421" t="s">
        <v>632</v>
      </c>
      <c r="B1421" t="s">
        <v>1610</v>
      </c>
    </row>
    <row r="1422" spans="1:2" x14ac:dyDescent="0.25">
      <c r="A1422" t="s">
        <v>608</v>
      </c>
      <c r="B1422" t="s">
        <v>1469</v>
      </c>
    </row>
    <row r="1423" spans="1:2" x14ac:dyDescent="0.25">
      <c r="A1423" t="s">
        <v>1012</v>
      </c>
      <c r="B1423" t="s">
        <v>1614</v>
      </c>
    </row>
    <row r="1424" spans="1:2" x14ac:dyDescent="0.25">
      <c r="A1424" t="s">
        <v>613</v>
      </c>
      <c r="B1424" t="s">
        <v>659</v>
      </c>
    </row>
    <row r="1425" spans="1:2" x14ac:dyDescent="0.25">
      <c r="A1425" t="s">
        <v>614</v>
      </c>
      <c r="B1425" t="s">
        <v>1835</v>
      </c>
    </row>
    <row r="1426" spans="1:2" x14ac:dyDescent="0.25">
      <c r="A1426" t="s">
        <v>604</v>
      </c>
      <c r="B1426" t="s">
        <v>1271</v>
      </c>
    </row>
    <row r="1427" spans="1:2" x14ac:dyDescent="0.25">
      <c r="A1427" t="s">
        <v>603</v>
      </c>
      <c r="B1427" t="s">
        <v>1252</v>
      </c>
    </row>
    <row r="1428" spans="1:2" x14ac:dyDescent="0.25">
      <c r="A1428" t="s">
        <v>618</v>
      </c>
      <c r="B1428" t="s">
        <v>2052</v>
      </c>
    </row>
    <row r="1429" spans="1:2" x14ac:dyDescent="0.25">
      <c r="A1429" t="s">
        <v>607</v>
      </c>
      <c r="B1429" t="s">
        <v>1425</v>
      </c>
    </row>
    <row r="1430" spans="1:2" x14ac:dyDescent="0.25">
      <c r="A1430" t="s">
        <v>607</v>
      </c>
      <c r="B1430" t="s">
        <v>1437</v>
      </c>
    </row>
    <row r="1431" spans="1:2" x14ac:dyDescent="0.25">
      <c r="A1431" t="s">
        <v>607</v>
      </c>
      <c r="B1431" t="s">
        <v>1459</v>
      </c>
    </row>
    <row r="1432" spans="1:2" x14ac:dyDescent="0.25">
      <c r="A1432" t="s">
        <v>628</v>
      </c>
      <c r="B1432" t="s">
        <v>177</v>
      </c>
    </row>
    <row r="1433" spans="1:2" x14ac:dyDescent="0.25">
      <c r="A1433" t="s">
        <v>608</v>
      </c>
      <c r="B1433" t="s">
        <v>1495</v>
      </c>
    </row>
    <row r="1434" spans="1:2" x14ac:dyDescent="0.25">
      <c r="A1434" t="s">
        <v>614</v>
      </c>
      <c r="B1434" t="s">
        <v>1841</v>
      </c>
    </row>
    <row r="1435" spans="1:2" x14ac:dyDescent="0.25">
      <c r="A1435" t="s">
        <v>2808</v>
      </c>
      <c r="B1435" t="s">
        <v>2304</v>
      </c>
    </row>
    <row r="1436" spans="1:2" x14ac:dyDescent="0.25">
      <c r="A1436" t="s">
        <v>620</v>
      </c>
      <c r="B1436" t="s">
        <v>2171</v>
      </c>
    </row>
    <row r="1437" spans="1:2" x14ac:dyDescent="0.25">
      <c r="A1437" t="s">
        <v>620</v>
      </c>
      <c r="B1437" t="s">
        <v>2191</v>
      </c>
    </row>
    <row r="1438" spans="1:2" x14ac:dyDescent="0.25">
      <c r="A1438" t="s">
        <v>610</v>
      </c>
      <c r="B1438" t="s">
        <v>1630</v>
      </c>
    </row>
    <row r="1439" spans="1:2" x14ac:dyDescent="0.25">
      <c r="A1439" t="s">
        <v>615</v>
      </c>
      <c r="B1439" t="s">
        <v>1630</v>
      </c>
    </row>
    <row r="1440" spans="1:2" x14ac:dyDescent="0.25">
      <c r="A1440" t="s">
        <v>617</v>
      </c>
      <c r="B1440" t="s">
        <v>1630</v>
      </c>
    </row>
    <row r="1441" spans="1:2" x14ac:dyDescent="0.25">
      <c r="A1441" t="s">
        <v>615</v>
      </c>
      <c r="B1441" t="s">
        <v>1895</v>
      </c>
    </row>
    <row r="1442" spans="1:2" x14ac:dyDescent="0.25">
      <c r="A1442" t="s">
        <v>609</v>
      </c>
      <c r="B1442" t="s">
        <v>1574</v>
      </c>
    </row>
    <row r="1443" spans="1:2" x14ac:dyDescent="0.25">
      <c r="A1443" t="s">
        <v>622</v>
      </c>
      <c r="B1443" t="s">
        <v>2211</v>
      </c>
    </row>
    <row r="1444" spans="1:2" x14ac:dyDescent="0.25">
      <c r="A1444" t="s">
        <v>613</v>
      </c>
      <c r="B1444" t="s">
        <v>1792</v>
      </c>
    </row>
    <row r="1445" spans="1:2" x14ac:dyDescent="0.25">
      <c r="A1445" t="s">
        <v>953</v>
      </c>
      <c r="B1445" t="s">
        <v>2728</v>
      </c>
    </row>
    <row r="1446" spans="1:2" x14ac:dyDescent="0.25">
      <c r="A1446" t="s">
        <v>607</v>
      </c>
      <c r="B1446" t="s">
        <v>1416</v>
      </c>
    </row>
    <row r="1447" spans="1:2" x14ac:dyDescent="0.25">
      <c r="A1447" t="s">
        <v>619</v>
      </c>
      <c r="B1447" t="s">
        <v>2102</v>
      </c>
    </row>
    <row r="1448" spans="1:2" x14ac:dyDescent="0.25">
      <c r="A1448" t="s">
        <v>619</v>
      </c>
      <c r="B1448" t="s">
        <v>2084</v>
      </c>
    </row>
    <row r="1449" spans="1:2" x14ac:dyDescent="0.25">
      <c r="A1449" t="s">
        <v>619</v>
      </c>
      <c r="B1449" t="s">
        <v>2094</v>
      </c>
    </row>
    <row r="1450" spans="1:2" x14ac:dyDescent="0.25">
      <c r="A1450" t="s">
        <v>611</v>
      </c>
      <c r="B1450" t="s">
        <v>1703</v>
      </c>
    </row>
    <row r="1451" spans="1:2" x14ac:dyDescent="0.25">
      <c r="A1451" t="s">
        <v>612</v>
      </c>
      <c r="B1451" t="s">
        <v>1703</v>
      </c>
    </row>
    <row r="1452" spans="1:2" x14ac:dyDescent="0.25">
      <c r="A1452" t="s">
        <v>831</v>
      </c>
      <c r="B1452" t="s">
        <v>1703</v>
      </c>
    </row>
    <row r="1453" spans="1:2" x14ac:dyDescent="0.25">
      <c r="A1453" t="s">
        <v>617</v>
      </c>
      <c r="B1453" t="s">
        <v>1703</v>
      </c>
    </row>
    <row r="1454" spans="1:2" x14ac:dyDescent="0.25">
      <c r="A1454" t="s">
        <v>622</v>
      </c>
      <c r="B1454" t="s">
        <v>1703</v>
      </c>
    </row>
    <row r="1455" spans="1:2" x14ac:dyDescent="0.25">
      <c r="A1455" t="s">
        <v>603</v>
      </c>
      <c r="B1455" t="s">
        <v>1227</v>
      </c>
    </row>
    <row r="1456" spans="1:2" x14ac:dyDescent="0.25">
      <c r="A1456" t="s">
        <v>631</v>
      </c>
      <c r="B1456" t="s">
        <v>2522</v>
      </c>
    </row>
    <row r="1457" spans="1:2" x14ac:dyDescent="0.25">
      <c r="A1457" t="s">
        <v>2808</v>
      </c>
      <c r="B1457" t="s">
        <v>2311</v>
      </c>
    </row>
    <row r="1458" spans="1:2" x14ac:dyDescent="0.25">
      <c r="A1458" t="s">
        <v>609</v>
      </c>
      <c r="B1458" t="s">
        <v>1558</v>
      </c>
    </row>
    <row r="1459" spans="1:2" x14ac:dyDescent="0.25">
      <c r="A1459" t="s">
        <v>628</v>
      </c>
      <c r="B1459" t="s">
        <v>2424</v>
      </c>
    </row>
    <row r="1460" spans="1:2" x14ac:dyDescent="0.25">
      <c r="A1460" t="s">
        <v>607</v>
      </c>
      <c r="B1460" t="s">
        <v>1424</v>
      </c>
    </row>
    <row r="1461" spans="1:2" x14ac:dyDescent="0.25">
      <c r="A1461" t="s">
        <v>628</v>
      </c>
      <c r="B1461" t="s">
        <v>1424</v>
      </c>
    </row>
    <row r="1462" spans="1:2" x14ac:dyDescent="0.25">
      <c r="A1462" t="s">
        <v>615</v>
      </c>
      <c r="B1462" t="s">
        <v>1897</v>
      </c>
    </row>
    <row r="1463" spans="1:2" x14ac:dyDescent="0.25">
      <c r="A1463" t="s">
        <v>617</v>
      </c>
      <c r="B1463" t="s">
        <v>1897</v>
      </c>
    </row>
    <row r="1464" spans="1:2" x14ac:dyDescent="0.25">
      <c r="A1464" t="s">
        <v>605</v>
      </c>
      <c r="B1464" t="s">
        <v>1330</v>
      </c>
    </row>
    <row r="1465" spans="1:2" x14ac:dyDescent="0.25">
      <c r="A1465" t="s">
        <v>1045</v>
      </c>
      <c r="B1465" t="s">
        <v>815</v>
      </c>
    </row>
    <row r="1466" spans="1:2" x14ac:dyDescent="0.25">
      <c r="A1466" t="s">
        <v>605</v>
      </c>
      <c r="B1466" t="s">
        <v>1350</v>
      </c>
    </row>
    <row r="1467" spans="1:2" x14ac:dyDescent="0.25">
      <c r="A1467" t="s">
        <v>620</v>
      </c>
      <c r="B1467" t="s">
        <v>2163</v>
      </c>
    </row>
    <row r="1468" spans="1:2" x14ac:dyDescent="0.25">
      <c r="A1468" t="s">
        <v>610</v>
      </c>
      <c r="B1468" t="s">
        <v>803</v>
      </c>
    </row>
    <row r="1469" spans="1:2" x14ac:dyDescent="0.25">
      <c r="A1469" t="s">
        <v>620</v>
      </c>
      <c r="B1469" t="s">
        <v>2166</v>
      </c>
    </row>
    <row r="1470" spans="1:2" x14ac:dyDescent="0.25">
      <c r="A1470" t="s">
        <v>614</v>
      </c>
      <c r="B1470" t="s">
        <v>108</v>
      </c>
    </row>
    <row r="1471" spans="1:2" x14ac:dyDescent="0.25">
      <c r="A1471" t="s">
        <v>606</v>
      </c>
      <c r="B1471" t="s">
        <v>1389</v>
      </c>
    </row>
    <row r="1472" spans="1:2" x14ac:dyDescent="0.25">
      <c r="A1472" t="s">
        <v>627</v>
      </c>
      <c r="B1472" t="s">
        <v>2365</v>
      </c>
    </row>
    <row r="1473" spans="1:2" x14ac:dyDescent="0.25">
      <c r="A1473" t="s">
        <v>628</v>
      </c>
      <c r="B1473" t="s">
        <v>2403</v>
      </c>
    </row>
    <row r="1474" spans="1:2" x14ac:dyDescent="0.25">
      <c r="A1474" t="s">
        <v>632</v>
      </c>
      <c r="B1474" t="s">
        <v>2403</v>
      </c>
    </row>
    <row r="1475" spans="1:2" x14ac:dyDescent="0.25">
      <c r="A1475" t="s">
        <v>620</v>
      </c>
      <c r="B1475" t="s">
        <v>2195</v>
      </c>
    </row>
    <row r="1476" spans="1:2" x14ac:dyDescent="0.25">
      <c r="A1476" t="s">
        <v>603</v>
      </c>
      <c r="B1476" t="s">
        <v>1232</v>
      </c>
    </row>
    <row r="1477" spans="1:2" x14ac:dyDescent="0.25">
      <c r="A1477" t="s">
        <v>618</v>
      </c>
      <c r="B1477" t="s">
        <v>1232</v>
      </c>
    </row>
    <row r="1478" spans="1:2" x14ac:dyDescent="0.25">
      <c r="A1478" t="s">
        <v>608</v>
      </c>
      <c r="B1478" t="s">
        <v>1507</v>
      </c>
    </row>
    <row r="1479" spans="1:2" x14ac:dyDescent="0.25">
      <c r="A1479" t="s">
        <v>615</v>
      </c>
      <c r="B1479" t="s">
        <v>1507</v>
      </c>
    </row>
    <row r="1480" spans="1:2" x14ac:dyDescent="0.25">
      <c r="A1480" t="s">
        <v>618</v>
      </c>
      <c r="B1480" t="s">
        <v>1507</v>
      </c>
    </row>
    <row r="1481" spans="1:2" x14ac:dyDescent="0.25">
      <c r="A1481" t="s">
        <v>632</v>
      </c>
      <c r="B1481" t="s">
        <v>1507</v>
      </c>
    </row>
    <row r="1482" spans="1:2" x14ac:dyDescent="0.25">
      <c r="A1482" t="s">
        <v>608</v>
      </c>
      <c r="B1482" t="s">
        <v>1476</v>
      </c>
    </row>
    <row r="1483" spans="1:2" x14ac:dyDescent="0.25">
      <c r="A1483" t="s">
        <v>1045</v>
      </c>
      <c r="B1483" t="s">
        <v>1810</v>
      </c>
    </row>
    <row r="1484" spans="1:2" x14ac:dyDescent="0.25">
      <c r="A1484" t="s">
        <v>608</v>
      </c>
      <c r="B1484" t="s">
        <v>1504</v>
      </c>
    </row>
    <row r="1485" spans="1:2" x14ac:dyDescent="0.25">
      <c r="A1485" t="s">
        <v>630</v>
      </c>
      <c r="B1485" t="s">
        <v>2485</v>
      </c>
    </row>
    <row r="1486" spans="1:2" x14ac:dyDescent="0.25">
      <c r="A1486" t="s">
        <v>635</v>
      </c>
      <c r="B1486" t="s">
        <v>1964</v>
      </c>
    </row>
    <row r="1487" spans="1:2" x14ac:dyDescent="0.25">
      <c r="A1487" t="s">
        <v>605</v>
      </c>
      <c r="B1487" t="s">
        <v>1341</v>
      </c>
    </row>
    <row r="1488" spans="1:2" x14ac:dyDescent="0.25">
      <c r="A1488" t="s">
        <v>615</v>
      </c>
      <c r="B1488" t="s">
        <v>1891</v>
      </c>
    </row>
    <row r="1489" spans="1:2" x14ac:dyDescent="0.25">
      <c r="A1489" t="s">
        <v>624</v>
      </c>
      <c r="B1489" t="s">
        <v>2345</v>
      </c>
    </row>
    <row r="1490" spans="1:2" x14ac:dyDescent="0.25">
      <c r="A1490" t="s">
        <v>610</v>
      </c>
      <c r="B1490" t="s">
        <v>1647</v>
      </c>
    </row>
    <row r="1491" spans="1:2" x14ac:dyDescent="0.25">
      <c r="A1491" t="s">
        <v>622</v>
      </c>
      <c r="B1491" t="s">
        <v>2221</v>
      </c>
    </row>
    <row r="1492" spans="1:2" x14ac:dyDescent="0.25">
      <c r="A1492" t="s">
        <v>630</v>
      </c>
      <c r="B1492" t="s">
        <v>2461</v>
      </c>
    </row>
    <row r="1493" spans="1:2" x14ac:dyDescent="0.25">
      <c r="A1493" t="s">
        <v>614</v>
      </c>
      <c r="B1493" t="s">
        <v>1405</v>
      </c>
    </row>
    <row r="1494" spans="1:2" x14ac:dyDescent="0.25">
      <c r="A1494" t="s">
        <v>619</v>
      </c>
      <c r="B1494" t="s">
        <v>1405</v>
      </c>
    </row>
    <row r="1495" spans="1:2" x14ac:dyDescent="0.25">
      <c r="A1495" t="s">
        <v>615</v>
      </c>
      <c r="B1495" t="s">
        <v>1899</v>
      </c>
    </row>
    <row r="1496" spans="1:2" x14ac:dyDescent="0.25">
      <c r="A1496" t="s">
        <v>607</v>
      </c>
      <c r="B1496" t="s">
        <v>1417</v>
      </c>
    </row>
    <row r="1497" spans="1:2" x14ac:dyDescent="0.25">
      <c r="A1497" t="s">
        <v>610</v>
      </c>
      <c r="B1497" t="s">
        <v>1640</v>
      </c>
    </row>
    <row r="1498" spans="1:2" x14ac:dyDescent="0.25">
      <c r="A1498" t="s">
        <v>633</v>
      </c>
      <c r="B1498" t="s">
        <v>2569</v>
      </c>
    </row>
    <row r="1499" spans="1:2" x14ac:dyDescent="0.25">
      <c r="A1499" t="s">
        <v>613</v>
      </c>
      <c r="B1499" t="s">
        <v>1800</v>
      </c>
    </row>
    <row r="1500" spans="1:2" x14ac:dyDescent="0.25">
      <c r="A1500" t="s">
        <v>624</v>
      </c>
      <c r="B1500" t="s">
        <v>2344</v>
      </c>
    </row>
    <row r="1501" spans="1:2" x14ac:dyDescent="0.25">
      <c r="A1501" t="s">
        <v>616</v>
      </c>
      <c r="B1501" t="s">
        <v>1920</v>
      </c>
    </row>
    <row r="1502" spans="1:2" x14ac:dyDescent="0.25">
      <c r="A1502" t="s">
        <v>615</v>
      </c>
      <c r="B1502" t="s">
        <v>1889</v>
      </c>
    </row>
    <row r="1503" spans="1:2" x14ac:dyDescent="0.25">
      <c r="A1503" t="s">
        <v>2808</v>
      </c>
      <c r="B1503" t="s">
        <v>2315</v>
      </c>
    </row>
    <row r="1504" spans="1:2" x14ac:dyDescent="0.25">
      <c r="A1504" t="s">
        <v>615</v>
      </c>
      <c r="B1504" t="s">
        <v>1879</v>
      </c>
    </row>
    <row r="1505" spans="1:2" x14ac:dyDescent="0.25">
      <c r="A1505" t="s">
        <v>608</v>
      </c>
      <c r="B1505" t="s">
        <v>1465</v>
      </c>
    </row>
    <row r="1506" spans="1:2" x14ac:dyDescent="0.25">
      <c r="A1506" t="s">
        <v>2808</v>
      </c>
      <c r="B1506" t="s">
        <v>2308</v>
      </c>
    </row>
    <row r="1507" spans="1:2" x14ac:dyDescent="0.25">
      <c r="A1507" t="s">
        <v>615</v>
      </c>
      <c r="B1507" t="s">
        <v>1863</v>
      </c>
    </row>
    <row r="1508" spans="1:2" x14ac:dyDescent="0.25">
      <c r="A1508" t="s">
        <v>617</v>
      </c>
      <c r="B1508" t="s">
        <v>1863</v>
      </c>
    </row>
    <row r="1509" spans="1:2" x14ac:dyDescent="0.25">
      <c r="A1509" t="s">
        <v>953</v>
      </c>
      <c r="B1509" t="s">
        <v>988</v>
      </c>
    </row>
    <row r="1510" spans="1:2" x14ac:dyDescent="0.25">
      <c r="A1510" t="s">
        <v>627</v>
      </c>
      <c r="B1510" t="s">
        <v>810</v>
      </c>
    </row>
    <row r="1511" spans="1:2" x14ac:dyDescent="0.25">
      <c r="A1511" t="s">
        <v>623</v>
      </c>
      <c r="B1511" t="s">
        <v>2285</v>
      </c>
    </row>
    <row r="1512" spans="1:2" x14ac:dyDescent="0.25">
      <c r="A1512" t="s">
        <v>2808</v>
      </c>
      <c r="B1512" t="s">
        <v>2773</v>
      </c>
    </row>
    <row r="1513" spans="1:2" x14ac:dyDescent="0.25">
      <c r="A1513" t="s">
        <v>615</v>
      </c>
      <c r="B1513" t="s">
        <v>947</v>
      </c>
    </row>
    <row r="1514" spans="1:2" x14ac:dyDescent="0.25">
      <c r="A1514" t="s">
        <v>617</v>
      </c>
      <c r="B1514" t="s">
        <v>2017</v>
      </c>
    </row>
    <row r="1515" spans="1:2" x14ac:dyDescent="0.25">
      <c r="A1515" t="s">
        <v>615</v>
      </c>
      <c r="B1515" t="s">
        <v>1818</v>
      </c>
    </row>
    <row r="1516" spans="1:2" x14ac:dyDescent="0.25">
      <c r="A1516" t="s">
        <v>617</v>
      </c>
      <c r="B1516" t="s">
        <v>1818</v>
      </c>
    </row>
    <row r="1517" spans="1:2" x14ac:dyDescent="0.25">
      <c r="A1517" t="s">
        <v>620</v>
      </c>
      <c r="B1517" t="s">
        <v>1818</v>
      </c>
    </row>
    <row r="1518" spans="1:2" x14ac:dyDescent="0.25">
      <c r="A1518" t="s">
        <v>624</v>
      </c>
      <c r="B1518" t="s">
        <v>1818</v>
      </c>
    </row>
    <row r="1519" spans="1:2" x14ac:dyDescent="0.25">
      <c r="A1519" t="s">
        <v>629</v>
      </c>
      <c r="B1519" t="s">
        <v>1818</v>
      </c>
    </row>
    <row r="1520" spans="1:2" x14ac:dyDescent="0.25">
      <c r="A1520" t="s">
        <v>616</v>
      </c>
      <c r="B1520" t="s">
        <v>1924</v>
      </c>
    </row>
    <row r="1521" spans="1:2" x14ac:dyDescent="0.25">
      <c r="A1521" t="s">
        <v>612</v>
      </c>
      <c r="B1521" t="s">
        <v>2602</v>
      </c>
    </row>
    <row r="1522" spans="1:2" x14ac:dyDescent="0.25">
      <c r="A1522" t="s">
        <v>632</v>
      </c>
      <c r="B1522" t="s">
        <v>2538</v>
      </c>
    </row>
    <row r="1523" spans="1:2" x14ac:dyDescent="0.25">
      <c r="A1523" t="s">
        <v>608</v>
      </c>
      <c r="B1523" t="s">
        <v>1506</v>
      </c>
    </row>
    <row r="1524" spans="1:2" x14ac:dyDescent="0.25">
      <c r="A1524" t="s">
        <v>615</v>
      </c>
      <c r="B1524" t="s">
        <v>1506</v>
      </c>
    </row>
    <row r="1525" spans="1:2" x14ac:dyDescent="0.25">
      <c r="A1525" t="s">
        <v>617</v>
      </c>
      <c r="B1525" t="s">
        <v>1506</v>
      </c>
    </row>
    <row r="1526" spans="1:2" x14ac:dyDescent="0.25">
      <c r="A1526" t="s">
        <v>624</v>
      </c>
      <c r="B1526" t="s">
        <v>1506</v>
      </c>
    </row>
    <row r="1527" spans="1:2" x14ac:dyDescent="0.25">
      <c r="A1527" t="s">
        <v>604</v>
      </c>
      <c r="B1527" t="s">
        <v>1295</v>
      </c>
    </row>
    <row r="1528" spans="1:2" x14ac:dyDescent="0.25">
      <c r="A1528" t="s">
        <v>615</v>
      </c>
      <c r="B1528" t="s">
        <v>1856</v>
      </c>
    </row>
    <row r="1529" spans="1:2" x14ac:dyDescent="0.25">
      <c r="A1529" t="s">
        <v>616</v>
      </c>
      <c r="B1529" t="s">
        <v>1914</v>
      </c>
    </row>
    <row r="1530" spans="1:2" x14ac:dyDescent="0.25">
      <c r="A1530" t="s">
        <v>629</v>
      </c>
      <c r="B1530" t="s">
        <v>2440</v>
      </c>
    </row>
    <row r="1531" spans="1:2" x14ac:dyDescent="0.25">
      <c r="A1531" t="s">
        <v>617</v>
      </c>
      <c r="B1531" t="s">
        <v>2013</v>
      </c>
    </row>
    <row r="1532" spans="1:2" x14ac:dyDescent="0.25">
      <c r="A1532" t="s">
        <v>629</v>
      </c>
      <c r="B1532" t="s">
        <v>2446</v>
      </c>
    </row>
    <row r="1533" spans="1:2" x14ac:dyDescent="0.25">
      <c r="A1533" t="s">
        <v>831</v>
      </c>
      <c r="B1533" t="s">
        <v>1763</v>
      </c>
    </row>
    <row r="1534" spans="1:2" x14ac:dyDescent="0.25">
      <c r="A1534" t="s">
        <v>614</v>
      </c>
      <c r="B1534" t="s">
        <v>1832</v>
      </c>
    </row>
    <row r="1535" spans="1:2" x14ac:dyDescent="0.25">
      <c r="A1535" t="s">
        <v>635</v>
      </c>
      <c r="B1535" t="s">
        <v>2760</v>
      </c>
    </row>
    <row r="1536" spans="1:2" x14ac:dyDescent="0.25">
      <c r="A1536" t="s">
        <v>831</v>
      </c>
      <c r="B1536" t="s">
        <v>1762</v>
      </c>
    </row>
    <row r="1537" spans="1:2" x14ac:dyDescent="0.25">
      <c r="A1537" t="s">
        <v>606</v>
      </c>
      <c r="B1537" t="s">
        <v>797</v>
      </c>
    </row>
    <row r="1538" spans="1:2" x14ac:dyDescent="0.25">
      <c r="A1538" t="s">
        <v>633</v>
      </c>
      <c r="B1538" t="s">
        <v>2555</v>
      </c>
    </row>
    <row r="1539" spans="1:2" x14ac:dyDescent="0.25">
      <c r="A1539" t="s">
        <v>1012</v>
      </c>
      <c r="B1539" t="s">
        <v>202</v>
      </c>
    </row>
    <row r="1540" spans="1:2" x14ac:dyDescent="0.25">
      <c r="A1540" t="s">
        <v>628</v>
      </c>
      <c r="B1540" t="s">
        <v>202</v>
      </c>
    </row>
    <row r="1541" spans="1:2" x14ac:dyDescent="0.25">
      <c r="A1541" t="s">
        <v>601</v>
      </c>
      <c r="B1541" t="s">
        <v>1146</v>
      </c>
    </row>
    <row r="1542" spans="1:2" x14ac:dyDescent="0.25">
      <c r="A1542" t="s">
        <v>609</v>
      </c>
      <c r="B1542" t="s">
        <v>75</v>
      </c>
    </row>
    <row r="1543" spans="1:2" x14ac:dyDescent="0.25">
      <c r="A1543" t="s">
        <v>601</v>
      </c>
      <c r="B1543" t="s">
        <v>1139</v>
      </c>
    </row>
    <row r="1544" spans="1:2" x14ac:dyDescent="0.25">
      <c r="A1544" t="s">
        <v>620</v>
      </c>
      <c r="B1544" t="s">
        <v>2185</v>
      </c>
    </row>
    <row r="1545" spans="1:2" x14ac:dyDescent="0.25">
      <c r="A1545" t="s">
        <v>2616</v>
      </c>
      <c r="B1545" t="s">
        <v>2661</v>
      </c>
    </row>
    <row r="1546" spans="1:2" x14ac:dyDescent="0.25">
      <c r="A1546" t="s">
        <v>1045</v>
      </c>
      <c r="B1546" t="s">
        <v>2063</v>
      </c>
    </row>
    <row r="1547" spans="1:2" x14ac:dyDescent="0.25">
      <c r="A1547" t="s">
        <v>1012</v>
      </c>
      <c r="B1547" t="s">
        <v>2758</v>
      </c>
    </row>
    <row r="1548" spans="1:2" x14ac:dyDescent="0.25">
      <c r="A1548" t="s">
        <v>610</v>
      </c>
      <c r="B1548" t="s">
        <v>733</v>
      </c>
    </row>
    <row r="1549" spans="1:2" x14ac:dyDescent="0.25">
      <c r="A1549" t="s">
        <v>616</v>
      </c>
      <c r="B1549" t="s">
        <v>1930</v>
      </c>
    </row>
    <row r="1550" spans="1:2" x14ac:dyDescent="0.25">
      <c r="A1550" t="s">
        <v>605</v>
      </c>
      <c r="B1550" t="s">
        <v>1340</v>
      </c>
    </row>
    <row r="1551" spans="1:2" x14ac:dyDescent="0.25">
      <c r="A1551" t="s">
        <v>604</v>
      </c>
      <c r="B1551" t="s">
        <v>1315</v>
      </c>
    </row>
    <row r="1552" spans="1:2" x14ac:dyDescent="0.25">
      <c r="A1552" t="s">
        <v>606</v>
      </c>
      <c r="B1552" t="s">
        <v>1006</v>
      </c>
    </row>
    <row r="1553" spans="1:2" x14ac:dyDescent="0.25">
      <c r="A1553" t="s">
        <v>628</v>
      </c>
      <c r="B1553" t="s">
        <v>1006</v>
      </c>
    </row>
    <row r="1554" spans="1:2" x14ac:dyDescent="0.25">
      <c r="A1554" t="s">
        <v>627</v>
      </c>
      <c r="B1554" t="s">
        <v>2363</v>
      </c>
    </row>
    <row r="1555" spans="1:2" x14ac:dyDescent="0.25">
      <c r="A1555" t="s">
        <v>617</v>
      </c>
      <c r="B1555" t="s">
        <v>2014</v>
      </c>
    </row>
    <row r="1556" spans="1:2" x14ac:dyDescent="0.25">
      <c r="A1556" t="s">
        <v>629</v>
      </c>
      <c r="B1556" t="s">
        <v>2014</v>
      </c>
    </row>
    <row r="1557" spans="1:2" x14ac:dyDescent="0.25">
      <c r="A1557" t="s">
        <v>613</v>
      </c>
      <c r="B1557" t="s">
        <v>1811</v>
      </c>
    </row>
    <row r="1558" spans="1:2" x14ac:dyDescent="0.25">
      <c r="A1558" t="s">
        <v>614</v>
      </c>
      <c r="B1558" t="s">
        <v>1811</v>
      </c>
    </row>
    <row r="1559" spans="1:2" x14ac:dyDescent="0.25">
      <c r="A1559" t="s">
        <v>915</v>
      </c>
      <c r="B1559" t="s">
        <v>1811</v>
      </c>
    </row>
    <row r="1560" spans="1:2" x14ac:dyDescent="0.25">
      <c r="A1560" t="s">
        <v>628</v>
      </c>
      <c r="B1560" t="s">
        <v>1811</v>
      </c>
    </row>
    <row r="1561" spans="1:2" x14ac:dyDescent="0.25">
      <c r="A1561" t="s">
        <v>632</v>
      </c>
      <c r="B1561" t="s">
        <v>1811</v>
      </c>
    </row>
    <row r="1562" spans="1:2" x14ac:dyDescent="0.25">
      <c r="A1562" t="s">
        <v>628</v>
      </c>
      <c r="B1562" t="s">
        <v>194</v>
      </c>
    </row>
    <row r="1563" spans="1:2" x14ac:dyDescent="0.25">
      <c r="A1563" t="s">
        <v>1045</v>
      </c>
      <c r="B1563" t="s">
        <v>942</v>
      </c>
    </row>
    <row r="1564" spans="1:2" x14ac:dyDescent="0.25">
      <c r="A1564" t="s">
        <v>915</v>
      </c>
      <c r="B1564" t="s">
        <v>942</v>
      </c>
    </row>
    <row r="1565" spans="1:2" x14ac:dyDescent="0.25">
      <c r="A1565" t="s">
        <v>607</v>
      </c>
      <c r="B1565" t="s">
        <v>679</v>
      </c>
    </row>
    <row r="1566" spans="1:2" x14ac:dyDescent="0.25">
      <c r="A1566" t="s">
        <v>1045</v>
      </c>
      <c r="B1566" t="s">
        <v>1075</v>
      </c>
    </row>
    <row r="1567" spans="1:2" x14ac:dyDescent="0.25">
      <c r="A1567" t="s">
        <v>632</v>
      </c>
      <c r="B1567" t="s">
        <v>1075</v>
      </c>
    </row>
    <row r="1568" spans="1:2" x14ac:dyDescent="0.25">
      <c r="A1568" t="s">
        <v>605</v>
      </c>
      <c r="B1568" t="s">
        <v>1324</v>
      </c>
    </row>
    <row r="1569" spans="1:2" x14ac:dyDescent="0.25">
      <c r="A1569" t="s">
        <v>632</v>
      </c>
      <c r="B1569" t="s">
        <v>2536</v>
      </c>
    </row>
    <row r="1570" spans="1:2" x14ac:dyDescent="0.25">
      <c r="A1570" t="s">
        <v>613</v>
      </c>
      <c r="B1570" t="s">
        <v>1784</v>
      </c>
    </row>
    <row r="1571" spans="1:2" x14ac:dyDescent="0.25">
      <c r="A1571" t="s">
        <v>630</v>
      </c>
      <c r="B1571" t="s">
        <v>2467</v>
      </c>
    </row>
    <row r="1572" spans="1:2" x14ac:dyDescent="0.25">
      <c r="A1572" t="s">
        <v>607</v>
      </c>
      <c r="B1572" t="s">
        <v>1431</v>
      </c>
    </row>
    <row r="1573" spans="1:2" x14ac:dyDescent="0.25">
      <c r="A1573" t="s">
        <v>624</v>
      </c>
      <c r="B1573" t="s">
        <v>2350</v>
      </c>
    </row>
    <row r="1574" spans="1:2" x14ac:dyDescent="0.25">
      <c r="A1574" t="s">
        <v>617</v>
      </c>
      <c r="B1574" t="s">
        <v>2799</v>
      </c>
    </row>
    <row r="1575" spans="1:2" x14ac:dyDescent="0.25">
      <c r="A1575" t="s">
        <v>628</v>
      </c>
      <c r="B1575" t="s">
        <v>2418</v>
      </c>
    </row>
    <row r="1576" spans="1:2" x14ac:dyDescent="0.25">
      <c r="A1576" t="s">
        <v>630</v>
      </c>
      <c r="B1576" t="s">
        <v>2418</v>
      </c>
    </row>
    <row r="1577" spans="1:2" x14ac:dyDescent="0.25">
      <c r="A1577" t="s">
        <v>608</v>
      </c>
      <c r="B1577" t="s">
        <v>1519</v>
      </c>
    </row>
    <row r="1578" spans="1:2" x14ac:dyDescent="0.25">
      <c r="A1578" t="s">
        <v>609</v>
      </c>
      <c r="B1578" t="s">
        <v>1590</v>
      </c>
    </row>
    <row r="1579" spans="1:2" x14ac:dyDescent="0.25">
      <c r="A1579" t="s">
        <v>608</v>
      </c>
      <c r="B1579" t="s">
        <v>1483</v>
      </c>
    </row>
    <row r="1580" spans="1:2" x14ac:dyDescent="0.25">
      <c r="A1580" t="s">
        <v>608</v>
      </c>
      <c r="B1580" t="s">
        <v>422</v>
      </c>
    </row>
    <row r="1581" spans="1:2" x14ac:dyDescent="0.25">
      <c r="A1581" t="s">
        <v>630</v>
      </c>
      <c r="B1581" t="s">
        <v>422</v>
      </c>
    </row>
    <row r="1582" spans="1:2" x14ac:dyDescent="0.25">
      <c r="A1582" t="s">
        <v>615</v>
      </c>
      <c r="B1582" t="s">
        <v>1851</v>
      </c>
    </row>
    <row r="1583" spans="1:2" x14ac:dyDescent="0.25">
      <c r="A1583" t="s">
        <v>615</v>
      </c>
      <c r="B1583" t="s">
        <v>1887</v>
      </c>
    </row>
    <row r="1584" spans="1:2" x14ac:dyDescent="0.25">
      <c r="A1584" t="s">
        <v>615</v>
      </c>
      <c r="B1584" t="s">
        <v>1901</v>
      </c>
    </row>
    <row r="1585" spans="1:2" x14ac:dyDescent="0.25">
      <c r="A1585" t="s">
        <v>602</v>
      </c>
      <c r="B1585" t="s">
        <v>1157</v>
      </c>
    </row>
    <row r="1586" spans="1:2" x14ac:dyDescent="0.25">
      <c r="A1586" t="s">
        <v>604</v>
      </c>
      <c r="B1586" t="s">
        <v>1157</v>
      </c>
    </row>
    <row r="1587" spans="1:2" x14ac:dyDescent="0.25">
      <c r="A1587" t="s">
        <v>610</v>
      </c>
      <c r="B1587" t="s">
        <v>1157</v>
      </c>
    </row>
    <row r="1588" spans="1:2" x14ac:dyDescent="0.25">
      <c r="A1588" t="s">
        <v>831</v>
      </c>
      <c r="B1588" t="s">
        <v>1157</v>
      </c>
    </row>
    <row r="1589" spans="1:2" x14ac:dyDescent="0.25">
      <c r="A1589" t="s">
        <v>613</v>
      </c>
      <c r="B1589" t="s">
        <v>1157</v>
      </c>
    </row>
    <row r="1590" spans="1:2" x14ac:dyDescent="0.25">
      <c r="A1590" t="s">
        <v>615</v>
      </c>
      <c r="B1590" t="s">
        <v>1157</v>
      </c>
    </row>
    <row r="1591" spans="1:2" x14ac:dyDescent="0.25">
      <c r="A1591" t="s">
        <v>616</v>
      </c>
      <c r="B1591" t="s">
        <v>1157</v>
      </c>
    </row>
    <row r="1592" spans="1:2" x14ac:dyDescent="0.25">
      <c r="A1592" t="s">
        <v>617</v>
      </c>
      <c r="B1592" t="s">
        <v>1157</v>
      </c>
    </row>
    <row r="1593" spans="1:2" x14ac:dyDescent="0.25">
      <c r="A1593" t="s">
        <v>1045</v>
      </c>
      <c r="B1593" t="s">
        <v>1157</v>
      </c>
    </row>
    <row r="1594" spans="1:2" x14ac:dyDescent="0.25">
      <c r="A1594" t="s">
        <v>620</v>
      </c>
      <c r="B1594" t="s">
        <v>1157</v>
      </c>
    </row>
    <row r="1595" spans="1:2" x14ac:dyDescent="0.25">
      <c r="A1595" t="s">
        <v>631</v>
      </c>
      <c r="B1595" t="s">
        <v>1157</v>
      </c>
    </row>
    <row r="1596" spans="1:2" x14ac:dyDescent="0.25">
      <c r="A1596" t="s">
        <v>831</v>
      </c>
      <c r="B1596" t="s">
        <v>1740</v>
      </c>
    </row>
    <row r="1597" spans="1:2" x14ac:dyDescent="0.25">
      <c r="A1597" t="s">
        <v>623</v>
      </c>
      <c r="B1597" t="s">
        <v>2249</v>
      </c>
    </row>
    <row r="1598" spans="1:2" x14ac:dyDescent="0.25">
      <c r="A1598" t="s">
        <v>631</v>
      </c>
      <c r="B1598" t="s">
        <v>2249</v>
      </c>
    </row>
    <row r="1599" spans="1:2" x14ac:dyDescent="0.25">
      <c r="A1599" t="s">
        <v>616</v>
      </c>
      <c r="B1599" t="s">
        <v>1925</v>
      </c>
    </row>
    <row r="1600" spans="1:2" x14ac:dyDescent="0.25">
      <c r="A1600" t="s">
        <v>630</v>
      </c>
      <c r="B1600" t="s">
        <v>2476</v>
      </c>
    </row>
    <row r="1601" spans="1:2" x14ac:dyDescent="0.25">
      <c r="A1601" t="s">
        <v>615</v>
      </c>
      <c r="B1601" t="s">
        <v>182</v>
      </c>
    </row>
    <row r="1602" spans="1:2" x14ac:dyDescent="0.25">
      <c r="A1602" t="s">
        <v>617</v>
      </c>
      <c r="B1602" t="s">
        <v>182</v>
      </c>
    </row>
    <row r="1603" spans="1:2" x14ac:dyDescent="0.25">
      <c r="A1603" t="s">
        <v>622</v>
      </c>
      <c r="B1603" t="s">
        <v>182</v>
      </c>
    </row>
    <row r="1604" spans="1:2" x14ac:dyDescent="0.25">
      <c r="A1604" t="s">
        <v>629</v>
      </c>
      <c r="B1604" t="s">
        <v>182</v>
      </c>
    </row>
    <row r="1605" spans="1:2" x14ac:dyDescent="0.25">
      <c r="A1605" t="s">
        <v>630</v>
      </c>
      <c r="B1605" t="s">
        <v>182</v>
      </c>
    </row>
    <row r="1606" spans="1:2" x14ac:dyDescent="0.25">
      <c r="A1606" t="s">
        <v>611</v>
      </c>
      <c r="B1606" t="s">
        <v>1713</v>
      </c>
    </row>
    <row r="1607" spans="1:2" x14ac:dyDescent="0.25">
      <c r="A1607" t="s">
        <v>630</v>
      </c>
      <c r="B1607" t="s">
        <v>1713</v>
      </c>
    </row>
    <row r="1608" spans="1:2" x14ac:dyDescent="0.25">
      <c r="A1608" t="s">
        <v>1012</v>
      </c>
      <c r="B1608" t="s">
        <v>1942</v>
      </c>
    </row>
    <row r="1609" spans="1:2" x14ac:dyDescent="0.25">
      <c r="A1609" t="s">
        <v>610</v>
      </c>
      <c r="B1609" t="s">
        <v>1662</v>
      </c>
    </row>
    <row r="1610" spans="1:2" x14ac:dyDescent="0.25">
      <c r="A1610" t="s">
        <v>622</v>
      </c>
      <c r="B1610" t="s">
        <v>2232</v>
      </c>
    </row>
    <row r="1611" spans="1:2" x14ac:dyDescent="0.25">
      <c r="A1611" t="s">
        <v>616</v>
      </c>
      <c r="B1611" t="s">
        <v>2833</v>
      </c>
    </row>
    <row r="1612" spans="1:2" x14ac:dyDescent="0.25">
      <c r="A1612" t="s">
        <v>831</v>
      </c>
      <c r="B1612" t="s">
        <v>1747</v>
      </c>
    </row>
    <row r="1613" spans="1:2" x14ac:dyDescent="0.25">
      <c r="A1613" t="s">
        <v>616</v>
      </c>
      <c r="B1613" t="s">
        <v>1905</v>
      </c>
    </row>
    <row r="1614" spans="1:2" x14ac:dyDescent="0.25">
      <c r="A1614" t="s">
        <v>623</v>
      </c>
      <c r="B1614" t="s">
        <v>2279</v>
      </c>
    </row>
    <row r="1615" spans="1:2" x14ac:dyDescent="0.25">
      <c r="A1615" t="s">
        <v>630</v>
      </c>
      <c r="B1615" t="s">
        <v>2489</v>
      </c>
    </row>
    <row r="1616" spans="1:2" x14ac:dyDescent="0.25">
      <c r="A1616" t="s">
        <v>601</v>
      </c>
      <c r="B1616" t="s">
        <v>1119</v>
      </c>
    </row>
    <row r="1617" spans="1:2" x14ac:dyDescent="0.25">
      <c r="A1617" t="s">
        <v>605</v>
      </c>
      <c r="B1617" t="s">
        <v>1359</v>
      </c>
    </row>
    <row r="1618" spans="1:2" x14ac:dyDescent="0.25">
      <c r="A1618" t="s">
        <v>604</v>
      </c>
      <c r="B1618" t="s">
        <v>1294</v>
      </c>
    </row>
    <row r="1619" spans="1:2" x14ac:dyDescent="0.25">
      <c r="A1619" t="s">
        <v>605</v>
      </c>
      <c r="B1619" t="s">
        <v>1294</v>
      </c>
    </row>
    <row r="1620" spans="1:2" x14ac:dyDescent="0.25">
      <c r="A1620" t="s">
        <v>1012</v>
      </c>
      <c r="B1620" t="s">
        <v>1294</v>
      </c>
    </row>
    <row r="1621" spans="1:2" x14ac:dyDescent="0.25">
      <c r="A1621" t="s">
        <v>635</v>
      </c>
      <c r="B1621" t="s">
        <v>1294</v>
      </c>
    </row>
    <row r="1622" spans="1:2" x14ac:dyDescent="0.25">
      <c r="A1622" t="s">
        <v>632</v>
      </c>
      <c r="B1622" t="s">
        <v>1294</v>
      </c>
    </row>
    <row r="1623" spans="1:2" x14ac:dyDescent="0.25">
      <c r="A1623" t="s">
        <v>624</v>
      </c>
      <c r="B1623" t="s">
        <v>668</v>
      </c>
    </row>
    <row r="1624" spans="1:2" x14ac:dyDescent="0.25">
      <c r="A1624" t="s">
        <v>915</v>
      </c>
      <c r="B1624" t="s">
        <v>2156</v>
      </c>
    </row>
    <row r="1625" spans="1:2" x14ac:dyDescent="0.25">
      <c r="A1625" t="s">
        <v>953</v>
      </c>
      <c r="B1625" t="s">
        <v>995</v>
      </c>
    </row>
    <row r="1626" spans="1:2" x14ac:dyDescent="0.25">
      <c r="A1626" t="s">
        <v>635</v>
      </c>
      <c r="B1626" t="s">
        <v>1996</v>
      </c>
    </row>
    <row r="1627" spans="1:2" x14ac:dyDescent="0.25">
      <c r="A1627" t="s">
        <v>609</v>
      </c>
      <c r="B1627" t="s">
        <v>1552</v>
      </c>
    </row>
    <row r="1628" spans="1:2" x14ac:dyDescent="0.25">
      <c r="A1628" t="s">
        <v>601</v>
      </c>
      <c r="B1628" t="s">
        <v>1131</v>
      </c>
    </row>
    <row r="1629" spans="1:2" x14ac:dyDescent="0.25">
      <c r="A1629" t="s">
        <v>611</v>
      </c>
      <c r="B1629" t="s">
        <v>1131</v>
      </c>
    </row>
    <row r="1630" spans="1:2" x14ac:dyDescent="0.25">
      <c r="A1630" t="s">
        <v>612</v>
      </c>
      <c r="B1630" t="s">
        <v>1131</v>
      </c>
    </row>
    <row r="1631" spans="1:2" x14ac:dyDescent="0.25">
      <c r="A1631" t="s">
        <v>615</v>
      </c>
      <c r="B1631" t="s">
        <v>1131</v>
      </c>
    </row>
    <row r="1632" spans="1:2" x14ac:dyDescent="0.25">
      <c r="A1632" t="s">
        <v>616</v>
      </c>
      <c r="B1632" t="s">
        <v>1131</v>
      </c>
    </row>
    <row r="1633" spans="1:2" x14ac:dyDescent="0.25">
      <c r="A1633" t="s">
        <v>617</v>
      </c>
      <c r="B1633" t="s">
        <v>1131</v>
      </c>
    </row>
    <row r="1634" spans="1:2" x14ac:dyDescent="0.25">
      <c r="A1634" t="s">
        <v>620</v>
      </c>
      <c r="B1634" t="s">
        <v>1131</v>
      </c>
    </row>
    <row r="1635" spans="1:2" x14ac:dyDescent="0.25">
      <c r="A1635" t="s">
        <v>622</v>
      </c>
      <c r="B1635" t="s">
        <v>1131</v>
      </c>
    </row>
    <row r="1636" spans="1:2" x14ac:dyDescent="0.25">
      <c r="A1636" t="s">
        <v>2808</v>
      </c>
      <c r="B1636" t="s">
        <v>1131</v>
      </c>
    </row>
    <row r="1637" spans="1:2" x14ac:dyDescent="0.25">
      <c r="A1637" t="s">
        <v>629</v>
      </c>
      <c r="B1637" t="s">
        <v>1131</v>
      </c>
    </row>
    <row r="1638" spans="1:2" x14ac:dyDescent="0.25">
      <c r="A1638" t="s">
        <v>630</v>
      </c>
      <c r="B1638" t="s">
        <v>1131</v>
      </c>
    </row>
    <row r="1639" spans="1:2" x14ac:dyDescent="0.25">
      <c r="A1639" t="s">
        <v>632</v>
      </c>
      <c r="B1639" t="s">
        <v>1131</v>
      </c>
    </row>
    <row r="1640" spans="1:2" x14ac:dyDescent="0.25">
      <c r="A1640" t="s">
        <v>915</v>
      </c>
      <c r="B1640" t="s">
        <v>2153</v>
      </c>
    </row>
    <row r="1641" spans="1:2" x14ac:dyDescent="0.25">
      <c r="A1641" t="s">
        <v>618</v>
      </c>
      <c r="B1641" t="s">
        <v>2043</v>
      </c>
    </row>
    <row r="1642" spans="1:2" x14ac:dyDescent="0.25">
      <c r="A1642" t="s">
        <v>915</v>
      </c>
      <c r="B1642" t="s">
        <v>2043</v>
      </c>
    </row>
    <row r="1643" spans="1:2" x14ac:dyDescent="0.25">
      <c r="A1643" t="s">
        <v>632</v>
      </c>
      <c r="B1643" t="s">
        <v>2043</v>
      </c>
    </row>
    <row r="1644" spans="1:2" x14ac:dyDescent="0.25">
      <c r="A1644" t="s">
        <v>635</v>
      </c>
      <c r="B1644" t="s">
        <v>1993</v>
      </c>
    </row>
    <row r="1645" spans="1:2" x14ac:dyDescent="0.25">
      <c r="A1645" t="s">
        <v>635</v>
      </c>
      <c r="B1645" t="s">
        <v>1956</v>
      </c>
    </row>
    <row r="1646" spans="1:2" x14ac:dyDescent="0.25">
      <c r="A1646" t="s">
        <v>2808</v>
      </c>
      <c r="B1646" t="s">
        <v>1956</v>
      </c>
    </row>
    <row r="1647" spans="1:2" x14ac:dyDescent="0.25">
      <c r="A1647" t="s">
        <v>615</v>
      </c>
      <c r="B1647" t="s">
        <v>1896</v>
      </c>
    </row>
    <row r="1648" spans="1:2" x14ac:dyDescent="0.25">
      <c r="A1648" t="s">
        <v>612</v>
      </c>
      <c r="B1648" t="s">
        <v>695</v>
      </c>
    </row>
    <row r="1649" spans="1:2" x14ac:dyDescent="0.25">
      <c r="A1649" t="s">
        <v>606</v>
      </c>
      <c r="B1649" t="s">
        <v>1393</v>
      </c>
    </row>
    <row r="1650" spans="1:2" x14ac:dyDescent="0.25">
      <c r="A1650" t="s">
        <v>605</v>
      </c>
      <c r="B1650" t="s">
        <v>667</v>
      </c>
    </row>
    <row r="1651" spans="1:2" x14ac:dyDescent="0.25">
      <c r="A1651" t="s">
        <v>915</v>
      </c>
      <c r="B1651" t="s">
        <v>2157</v>
      </c>
    </row>
    <row r="1652" spans="1:2" x14ac:dyDescent="0.25">
      <c r="A1652" t="s">
        <v>2808</v>
      </c>
      <c r="B1652" t="s">
        <v>2305</v>
      </c>
    </row>
    <row r="1653" spans="1:2" x14ac:dyDescent="0.25">
      <c r="A1653" t="s">
        <v>604</v>
      </c>
      <c r="B1653" t="s">
        <v>1262</v>
      </c>
    </row>
    <row r="1654" spans="1:2" x14ac:dyDescent="0.25">
      <c r="A1654" t="s">
        <v>618</v>
      </c>
      <c r="B1654" t="s">
        <v>794</v>
      </c>
    </row>
    <row r="1655" spans="1:2" x14ac:dyDescent="0.25">
      <c r="A1655" t="s">
        <v>618</v>
      </c>
      <c r="B1655" t="s">
        <v>2036</v>
      </c>
    </row>
    <row r="1656" spans="1:2" x14ac:dyDescent="0.25">
      <c r="A1656" t="s">
        <v>608</v>
      </c>
      <c r="B1656" t="s">
        <v>1522</v>
      </c>
    </row>
    <row r="1657" spans="1:2" x14ac:dyDescent="0.25">
      <c r="A1657" t="s">
        <v>601</v>
      </c>
      <c r="B1657" t="s">
        <v>22</v>
      </c>
    </row>
    <row r="1658" spans="1:2" x14ac:dyDescent="0.25">
      <c r="A1658" t="s">
        <v>612</v>
      </c>
      <c r="B1658" t="s">
        <v>22</v>
      </c>
    </row>
    <row r="1659" spans="1:2" x14ac:dyDescent="0.25">
      <c r="A1659" t="s">
        <v>623</v>
      </c>
      <c r="B1659" t="s">
        <v>2248</v>
      </c>
    </row>
    <row r="1660" spans="1:2" x14ac:dyDescent="0.25">
      <c r="A1660" t="s">
        <v>633</v>
      </c>
      <c r="B1660" t="s">
        <v>2582</v>
      </c>
    </row>
    <row r="1661" spans="1:2" x14ac:dyDescent="0.25">
      <c r="A1661" t="s">
        <v>606</v>
      </c>
      <c r="B1661" t="s">
        <v>1736</v>
      </c>
    </row>
    <row r="1662" spans="1:2" x14ac:dyDescent="0.25">
      <c r="A1662" t="s">
        <v>831</v>
      </c>
      <c r="B1662" t="s">
        <v>1736</v>
      </c>
    </row>
    <row r="1663" spans="1:2" x14ac:dyDescent="0.25">
      <c r="A1663" t="s">
        <v>617</v>
      </c>
      <c r="B1663" t="s">
        <v>2019</v>
      </c>
    </row>
    <row r="1664" spans="1:2" x14ac:dyDescent="0.25">
      <c r="A1664" t="s">
        <v>613</v>
      </c>
      <c r="B1664" t="s">
        <v>2834</v>
      </c>
    </row>
    <row r="1665" spans="1:2" x14ac:dyDescent="0.25">
      <c r="A1665" t="s">
        <v>608</v>
      </c>
      <c r="B1665" t="s">
        <v>1470</v>
      </c>
    </row>
    <row r="1666" spans="1:2" x14ac:dyDescent="0.25">
      <c r="A1666" t="s">
        <v>617</v>
      </c>
      <c r="B1666" t="s">
        <v>2004</v>
      </c>
    </row>
    <row r="1667" spans="1:2" x14ac:dyDescent="0.25">
      <c r="A1667" t="s">
        <v>623</v>
      </c>
      <c r="B1667" t="s">
        <v>2290</v>
      </c>
    </row>
    <row r="1668" spans="1:2" x14ac:dyDescent="0.25">
      <c r="A1668" t="s">
        <v>623</v>
      </c>
      <c r="B1668" t="s">
        <v>2289</v>
      </c>
    </row>
    <row r="1669" spans="1:2" x14ac:dyDescent="0.25">
      <c r="A1669" t="s">
        <v>623</v>
      </c>
      <c r="B1669" t="s">
        <v>2293</v>
      </c>
    </row>
    <row r="1670" spans="1:2" x14ac:dyDescent="0.25">
      <c r="A1670" t="s">
        <v>623</v>
      </c>
      <c r="B1670" t="s">
        <v>2294</v>
      </c>
    </row>
    <row r="1671" spans="1:2" x14ac:dyDescent="0.25">
      <c r="A1671" t="s">
        <v>623</v>
      </c>
      <c r="B1671" t="s">
        <v>746</v>
      </c>
    </row>
    <row r="1672" spans="1:2" x14ac:dyDescent="0.25">
      <c r="A1672" t="s">
        <v>623</v>
      </c>
      <c r="B1672" t="s">
        <v>2291</v>
      </c>
    </row>
    <row r="1673" spans="1:2" x14ac:dyDescent="0.25">
      <c r="A1673" t="s">
        <v>623</v>
      </c>
      <c r="B1673" t="s">
        <v>2292</v>
      </c>
    </row>
    <row r="1674" spans="1:2" x14ac:dyDescent="0.25">
      <c r="A1674" t="s">
        <v>623</v>
      </c>
      <c r="B1674" t="s">
        <v>2265</v>
      </c>
    </row>
    <row r="1675" spans="1:2" x14ac:dyDescent="0.25">
      <c r="A1675" t="s">
        <v>635</v>
      </c>
      <c r="B1675" t="s">
        <v>1977</v>
      </c>
    </row>
    <row r="1676" spans="1:2" x14ac:dyDescent="0.25">
      <c r="A1676" t="s">
        <v>611</v>
      </c>
      <c r="B1676" t="s">
        <v>1686</v>
      </c>
    </row>
    <row r="1677" spans="1:2" x14ac:dyDescent="0.25">
      <c r="A1677" t="s">
        <v>617</v>
      </c>
      <c r="B1677" t="s">
        <v>2018</v>
      </c>
    </row>
    <row r="1678" spans="1:2" x14ac:dyDescent="0.25">
      <c r="A1678" t="s">
        <v>607</v>
      </c>
      <c r="B1678" t="s">
        <v>763</v>
      </c>
    </row>
    <row r="1679" spans="1:2" x14ac:dyDescent="0.25">
      <c r="A1679" t="s">
        <v>618</v>
      </c>
      <c r="B1679" t="s">
        <v>2033</v>
      </c>
    </row>
    <row r="1680" spans="1:2" x14ac:dyDescent="0.25">
      <c r="A1680" t="s">
        <v>620</v>
      </c>
      <c r="B1680" t="s">
        <v>2033</v>
      </c>
    </row>
    <row r="1681" spans="1:2" x14ac:dyDescent="0.25">
      <c r="A1681" t="s">
        <v>633</v>
      </c>
      <c r="B1681" t="s">
        <v>2033</v>
      </c>
    </row>
    <row r="1682" spans="1:2" x14ac:dyDescent="0.25">
      <c r="A1682" t="s">
        <v>633</v>
      </c>
      <c r="B1682" t="s">
        <v>2586</v>
      </c>
    </row>
    <row r="1683" spans="1:2" x14ac:dyDescent="0.25">
      <c r="A1683" t="s">
        <v>624</v>
      </c>
      <c r="B1683" t="s">
        <v>2334</v>
      </c>
    </row>
    <row r="1684" spans="1:2" x14ac:dyDescent="0.25">
      <c r="A1684" t="s">
        <v>617</v>
      </c>
      <c r="B1684" t="s">
        <v>825</v>
      </c>
    </row>
    <row r="1685" spans="1:2" x14ac:dyDescent="0.25">
      <c r="A1685" t="s">
        <v>635</v>
      </c>
      <c r="B1685" t="s">
        <v>1962</v>
      </c>
    </row>
    <row r="1686" spans="1:2" x14ac:dyDescent="0.25">
      <c r="A1686" t="s">
        <v>628</v>
      </c>
      <c r="B1686" t="s">
        <v>2433</v>
      </c>
    </row>
    <row r="1687" spans="1:2" x14ac:dyDescent="0.25">
      <c r="A1687" t="s">
        <v>614</v>
      </c>
      <c r="B1687" t="s">
        <v>1839</v>
      </c>
    </row>
    <row r="1688" spans="1:2" x14ac:dyDescent="0.25">
      <c r="A1688" t="s">
        <v>618</v>
      </c>
      <c r="B1688" t="s">
        <v>1839</v>
      </c>
    </row>
    <row r="1689" spans="1:2" x14ac:dyDescent="0.25">
      <c r="A1689" t="s">
        <v>1012</v>
      </c>
      <c r="B1689" t="s">
        <v>1619</v>
      </c>
    </row>
    <row r="1690" spans="1:2" x14ac:dyDescent="0.25">
      <c r="A1690" t="s">
        <v>632</v>
      </c>
      <c r="B1690" t="s">
        <v>1619</v>
      </c>
    </row>
    <row r="1691" spans="1:2" x14ac:dyDescent="0.25">
      <c r="A1691" t="s">
        <v>605</v>
      </c>
      <c r="B1691" t="s">
        <v>1347</v>
      </c>
    </row>
    <row r="1692" spans="1:2" x14ac:dyDescent="0.25">
      <c r="A1692" t="s">
        <v>601</v>
      </c>
      <c r="B1692" t="s">
        <v>1118</v>
      </c>
    </row>
    <row r="1693" spans="1:2" x14ac:dyDescent="0.25">
      <c r="A1693" t="s">
        <v>622</v>
      </c>
      <c r="B1693" t="s">
        <v>2241</v>
      </c>
    </row>
    <row r="1694" spans="1:2" x14ac:dyDescent="0.25">
      <c r="A1694" t="s">
        <v>610</v>
      </c>
      <c r="B1694" t="s">
        <v>1661</v>
      </c>
    </row>
    <row r="1695" spans="1:2" x14ac:dyDescent="0.25">
      <c r="A1695" t="s">
        <v>611</v>
      </c>
      <c r="B1695" t="s">
        <v>1684</v>
      </c>
    </row>
    <row r="1696" spans="1:2" x14ac:dyDescent="0.25">
      <c r="A1696" t="s">
        <v>612</v>
      </c>
      <c r="B1696" t="s">
        <v>1684</v>
      </c>
    </row>
    <row r="1697" spans="1:2" x14ac:dyDescent="0.25">
      <c r="A1697" t="s">
        <v>1012</v>
      </c>
      <c r="B1697" t="s">
        <v>1028</v>
      </c>
    </row>
    <row r="1698" spans="1:2" x14ac:dyDescent="0.25">
      <c r="A1698" t="s">
        <v>628</v>
      </c>
      <c r="B1698" t="s">
        <v>2407</v>
      </c>
    </row>
    <row r="1699" spans="1:2" x14ac:dyDescent="0.25">
      <c r="A1699" t="s">
        <v>631</v>
      </c>
      <c r="B1699" t="s">
        <v>2500</v>
      </c>
    </row>
    <row r="1700" spans="1:2" x14ac:dyDescent="0.25">
      <c r="A1700" t="s">
        <v>617</v>
      </c>
      <c r="B1700" t="s">
        <v>1998</v>
      </c>
    </row>
    <row r="1701" spans="1:2" x14ac:dyDescent="0.25">
      <c r="A1701" t="s">
        <v>616</v>
      </c>
      <c r="B1701" t="s">
        <v>1906</v>
      </c>
    </row>
    <row r="1702" spans="1:2" x14ac:dyDescent="0.25">
      <c r="A1702" t="s">
        <v>609</v>
      </c>
      <c r="B1702" t="s">
        <v>1563</v>
      </c>
    </row>
    <row r="1703" spans="1:2" x14ac:dyDescent="0.25">
      <c r="A1703" t="s">
        <v>602</v>
      </c>
      <c r="B1703" t="s">
        <v>1169</v>
      </c>
    </row>
    <row r="1704" spans="1:2" x14ac:dyDescent="0.25">
      <c r="A1704" t="s">
        <v>632</v>
      </c>
      <c r="B1704" t="s">
        <v>2539</v>
      </c>
    </row>
    <row r="1705" spans="1:2" x14ac:dyDescent="0.25">
      <c r="A1705" t="s">
        <v>623</v>
      </c>
      <c r="B1705" t="s">
        <v>684</v>
      </c>
    </row>
    <row r="1706" spans="1:2" x14ac:dyDescent="0.25">
      <c r="A1706" t="s">
        <v>2808</v>
      </c>
      <c r="B1706" t="s">
        <v>2298</v>
      </c>
    </row>
    <row r="1707" spans="1:2" x14ac:dyDescent="0.25">
      <c r="A1707" t="s">
        <v>604</v>
      </c>
      <c r="B1707" t="s">
        <v>1277</v>
      </c>
    </row>
    <row r="1708" spans="1:2" x14ac:dyDescent="0.25">
      <c r="A1708" t="s">
        <v>615</v>
      </c>
      <c r="B1708" t="s">
        <v>1875</v>
      </c>
    </row>
    <row r="1709" spans="1:2" x14ac:dyDescent="0.25">
      <c r="A1709" t="s">
        <v>607</v>
      </c>
      <c r="B1709" t="s">
        <v>1440</v>
      </c>
    </row>
    <row r="1710" spans="1:2" x14ac:dyDescent="0.25">
      <c r="A1710" t="s">
        <v>604</v>
      </c>
      <c r="B1710" t="s">
        <v>1263</v>
      </c>
    </row>
    <row r="1711" spans="1:2" x14ac:dyDescent="0.25">
      <c r="A1711" t="s">
        <v>603</v>
      </c>
      <c r="B1711" t="s">
        <v>958</v>
      </c>
    </row>
    <row r="1712" spans="1:2" x14ac:dyDescent="0.25">
      <c r="A1712" t="s">
        <v>606</v>
      </c>
      <c r="B1712" t="s">
        <v>958</v>
      </c>
    </row>
    <row r="1713" spans="1:2" x14ac:dyDescent="0.25">
      <c r="A1713" t="s">
        <v>623</v>
      </c>
      <c r="B1713" t="s">
        <v>958</v>
      </c>
    </row>
    <row r="1714" spans="1:2" x14ac:dyDescent="0.25">
      <c r="A1714" t="s">
        <v>628</v>
      </c>
      <c r="B1714" t="s">
        <v>958</v>
      </c>
    </row>
    <row r="1715" spans="1:2" x14ac:dyDescent="0.25">
      <c r="A1715" t="s">
        <v>627</v>
      </c>
      <c r="B1715" t="s">
        <v>780</v>
      </c>
    </row>
    <row r="1716" spans="1:2" x14ac:dyDescent="0.25">
      <c r="A1716" t="s">
        <v>618</v>
      </c>
      <c r="B1716" t="s">
        <v>2026</v>
      </c>
    </row>
    <row r="1717" spans="1:2" x14ac:dyDescent="0.25">
      <c r="A1717" t="s">
        <v>603</v>
      </c>
      <c r="B1717" t="s">
        <v>1234</v>
      </c>
    </row>
    <row r="1718" spans="1:2" x14ac:dyDescent="0.25">
      <c r="A1718" t="s">
        <v>603</v>
      </c>
      <c r="B1718" t="s">
        <v>1233</v>
      </c>
    </row>
    <row r="1719" spans="1:2" x14ac:dyDescent="0.25">
      <c r="A1719" t="s">
        <v>631</v>
      </c>
      <c r="B1719" t="s">
        <v>1233</v>
      </c>
    </row>
    <row r="1720" spans="1:2" x14ac:dyDescent="0.25">
      <c r="A1720" t="s">
        <v>612</v>
      </c>
      <c r="B1720" t="s">
        <v>1720</v>
      </c>
    </row>
    <row r="1721" spans="1:2" x14ac:dyDescent="0.25">
      <c r="A1721" t="s">
        <v>604</v>
      </c>
      <c r="B1721" t="s">
        <v>1280</v>
      </c>
    </row>
    <row r="1722" spans="1:2" x14ac:dyDescent="0.25">
      <c r="A1722" t="s">
        <v>1045</v>
      </c>
      <c r="B1722" t="s">
        <v>1068</v>
      </c>
    </row>
    <row r="1723" spans="1:2" x14ac:dyDescent="0.25">
      <c r="A1723" t="s">
        <v>608</v>
      </c>
      <c r="B1723" t="s">
        <v>71</v>
      </c>
    </row>
    <row r="1724" spans="1:2" x14ac:dyDescent="0.25">
      <c r="A1724" t="s">
        <v>1012</v>
      </c>
      <c r="B1724" t="s">
        <v>71</v>
      </c>
    </row>
    <row r="1725" spans="1:2" x14ac:dyDescent="0.25">
      <c r="A1725" t="s">
        <v>632</v>
      </c>
      <c r="B1725" t="s">
        <v>71</v>
      </c>
    </row>
    <row r="1726" spans="1:2" x14ac:dyDescent="0.25">
      <c r="A1726" t="s">
        <v>633</v>
      </c>
      <c r="B1726" t="s">
        <v>2574</v>
      </c>
    </row>
    <row r="1727" spans="1:2" x14ac:dyDescent="0.25">
      <c r="A1727" t="s">
        <v>627</v>
      </c>
      <c r="B1727" t="s">
        <v>2389</v>
      </c>
    </row>
    <row r="1728" spans="1:2" x14ac:dyDescent="0.25">
      <c r="A1728" t="s">
        <v>631</v>
      </c>
      <c r="B1728" t="s">
        <v>2498</v>
      </c>
    </row>
    <row r="1729" spans="1:2" x14ac:dyDescent="0.25">
      <c r="A1729" t="s">
        <v>606</v>
      </c>
      <c r="B1729" t="s">
        <v>1403</v>
      </c>
    </row>
    <row r="1730" spans="1:2" x14ac:dyDescent="0.25">
      <c r="A1730" t="s">
        <v>615</v>
      </c>
      <c r="B1730" t="s">
        <v>1869</v>
      </c>
    </row>
    <row r="1731" spans="1:2" x14ac:dyDescent="0.25">
      <c r="A1731" t="s">
        <v>613</v>
      </c>
      <c r="B1731" t="s">
        <v>1793</v>
      </c>
    </row>
    <row r="1732" spans="1:2" x14ac:dyDescent="0.25">
      <c r="A1732" t="s">
        <v>628</v>
      </c>
      <c r="B1732" t="s">
        <v>2431</v>
      </c>
    </row>
    <row r="1733" spans="1:2" x14ac:dyDescent="0.25">
      <c r="A1733" t="s">
        <v>831</v>
      </c>
      <c r="B1733" t="s">
        <v>1776</v>
      </c>
    </row>
    <row r="1734" spans="1:2" x14ac:dyDescent="0.25">
      <c r="A1734" t="s">
        <v>612</v>
      </c>
      <c r="B1734" t="s">
        <v>1724</v>
      </c>
    </row>
    <row r="1735" spans="1:2" x14ac:dyDescent="0.25">
      <c r="A1735" t="s">
        <v>631</v>
      </c>
      <c r="B1735" t="s">
        <v>1724</v>
      </c>
    </row>
    <row r="1736" spans="1:2" x14ac:dyDescent="0.25">
      <c r="A1736" t="s">
        <v>953</v>
      </c>
      <c r="B1736" t="s">
        <v>784</v>
      </c>
    </row>
    <row r="1737" spans="1:2" x14ac:dyDescent="0.25">
      <c r="A1737" t="s">
        <v>630</v>
      </c>
      <c r="B1737" t="s">
        <v>2490</v>
      </c>
    </row>
    <row r="1738" spans="1:2" x14ac:dyDescent="0.25">
      <c r="A1738" t="s">
        <v>633</v>
      </c>
      <c r="B1738" t="s">
        <v>212</v>
      </c>
    </row>
    <row r="1739" spans="1:2" x14ac:dyDescent="0.25">
      <c r="A1739" t="s">
        <v>601</v>
      </c>
      <c r="B1739" t="s">
        <v>723</v>
      </c>
    </row>
    <row r="1740" spans="1:2" x14ac:dyDescent="0.25">
      <c r="A1740" t="s">
        <v>608</v>
      </c>
      <c r="B1740" t="s">
        <v>723</v>
      </c>
    </row>
    <row r="1741" spans="1:2" x14ac:dyDescent="0.25">
      <c r="A1741" t="s">
        <v>609</v>
      </c>
      <c r="B1741" t="s">
        <v>723</v>
      </c>
    </row>
    <row r="1742" spans="1:2" x14ac:dyDescent="0.25">
      <c r="A1742" t="s">
        <v>610</v>
      </c>
      <c r="B1742" t="s">
        <v>723</v>
      </c>
    </row>
    <row r="1743" spans="1:2" x14ac:dyDescent="0.25">
      <c r="A1743" t="s">
        <v>1045</v>
      </c>
      <c r="B1743" t="s">
        <v>723</v>
      </c>
    </row>
    <row r="1744" spans="1:2" x14ac:dyDescent="0.25">
      <c r="A1744" t="s">
        <v>619</v>
      </c>
      <c r="B1744" t="s">
        <v>723</v>
      </c>
    </row>
    <row r="1745" spans="1:2" x14ac:dyDescent="0.25">
      <c r="A1745" t="s">
        <v>602</v>
      </c>
      <c r="B1745" t="s">
        <v>51</v>
      </c>
    </row>
    <row r="1746" spans="1:2" x14ac:dyDescent="0.25">
      <c r="A1746" t="s">
        <v>604</v>
      </c>
      <c r="B1746" t="s">
        <v>51</v>
      </c>
    </row>
    <row r="1747" spans="1:2" x14ac:dyDescent="0.25">
      <c r="A1747" t="s">
        <v>605</v>
      </c>
      <c r="B1747" t="s">
        <v>51</v>
      </c>
    </row>
    <row r="1748" spans="1:2" x14ac:dyDescent="0.25">
      <c r="A1748" t="s">
        <v>628</v>
      </c>
      <c r="B1748" t="s">
        <v>51</v>
      </c>
    </row>
    <row r="1749" spans="1:2" x14ac:dyDescent="0.25">
      <c r="A1749" t="s">
        <v>611</v>
      </c>
      <c r="B1749" t="s">
        <v>1680</v>
      </c>
    </row>
    <row r="1750" spans="1:2" x14ac:dyDescent="0.25">
      <c r="A1750" t="s">
        <v>612</v>
      </c>
      <c r="B1750" t="s">
        <v>1680</v>
      </c>
    </row>
    <row r="1751" spans="1:2" x14ac:dyDescent="0.25">
      <c r="A1751" t="s">
        <v>615</v>
      </c>
      <c r="B1751" t="s">
        <v>1864</v>
      </c>
    </row>
    <row r="1752" spans="1:2" x14ac:dyDescent="0.25">
      <c r="A1752" t="s">
        <v>2808</v>
      </c>
      <c r="B1752" t="s">
        <v>2313</v>
      </c>
    </row>
    <row r="1753" spans="1:2" x14ac:dyDescent="0.25">
      <c r="A1753" t="s">
        <v>627</v>
      </c>
      <c r="B1753" t="s">
        <v>2313</v>
      </c>
    </row>
    <row r="1754" spans="1:2" x14ac:dyDescent="0.25">
      <c r="A1754" t="s">
        <v>618</v>
      </c>
      <c r="B1754" t="s">
        <v>2041</v>
      </c>
    </row>
    <row r="1755" spans="1:2" x14ac:dyDescent="0.25">
      <c r="A1755" t="s">
        <v>2808</v>
      </c>
      <c r="B1755" t="s">
        <v>2822</v>
      </c>
    </row>
    <row r="1756" spans="1:2" x14ac:dyDescent="0.25">
      <c r="A1756" t="s">
        <v>605</v>
      </c>
      <c r="B1756" t="s">
        <v>1346</v>
      </c>
    </row>
    <row r="1757" spans="1:2" x14ac:dyDescent="0.25">
      <c r="A1757" t="s">
        <v>618</v>
      </c>
      <c r="B1757" t="s">
        <v>1346</v>
      </c>
    </row>
    <row r="1758" spans="1:2" x14ac:dyDescent="0.25">
      <c r="A1758" t="s">
        <v>631</v>
      </c>
      <c r="B1758" t="s">
        <v>2518</v>
      </c>
    </row>
    <row r="1759" spans="1:2" x14ac:dyDescent="0.25">
      <c r="A1759" t="s">
        <v>629</v>
      </c>
      <c r="B1759" t="s">
        <v>2599</v>
      </c>
    </row>
    <row r="1760" spans="1:2" x14ac:dyDescent="0.25">
      <c r="A1760" t="s">
        <v>610</v>
      </c>
      <c r="B1760" t="s">
        <v>726</v>
      </c>
    </row>
    <row r="1761" spans="1:2" x14ac:dyDescent="0.25">
      <c r="A1761" t="s">
        <v>630</v>
      </c>
      <c r="B1761" t="s">
        <v>2458</v>
      </c>
    </row>
    <row r="1762" spans="1:2" x14ac:dyDescent="0.25">
      <c r="A1762" t="s">
        <v>605</v>
      </c>
      <c r="B1762" t="s">
        <v>1079</v>
      </c>
    </row>
    <row r="1763" spans="1:2" x14ac:dyDescent="0.25">
      <c r="A1763" t="s">
        <v>1045</v>
      </c>
      <c r="B1763" t="s">
        <v>1079</v>
      </c>
    </row>
    <row r="1764" spans="1:2" x14ac:dyDescent="0.25">
      <c r="A1764" t="s">
        <v>915</v>
      </c>
      <c r="B1764" t="s">
        <v>1079</v>
      </c>
    </row>
    <row r="1765" spans="1:2" x14ac:dyDescent="0.25">
      <c r="A1765" t="s">
        <v>1045</v>
      </c>
      <c r="B1765" t="s">
        <v>2078</v>
      </c>
    </row>
    <row r="1766" spans="1:2" x14ac:dyDescent="0.25">
      <c r="A1766" t="s">
        <v>632</v>
      </c>
      <c r="B1766" t="s">
        <v>1076</v>
      </c>
    </row>
    <row r="1767" spans="1:2" x14ac:dyDescent="0.25">
      <c r="A1767" t="s">
        <v>1045</v>
      </c>
      <c r="B1767" t="s">
        <v>2075</v>
      </c>
    </row>
    <row r="1768" spans="1:2" x14ac:dyDescent="0.25">
      <c r="A1768" t="s">
        <v>1045</v>
      </c>
      <c r="B1768" t="s">
        <v>2074</v>
      </c>
    </row>
    <row r="1769" spans="1:2" x14ac:dyDescent="0.25">
      <c r="A1769" t="s">
        <v>1045</v>
      </c>
      <c r="B1769" t="s">
        <v>1067</v>
      </c>
    </row>
    <row r="1770" spans="1:2" x14ac:dyDescent="0.25">
      <c r="A1770" t="s">
        <v>627</v>
      </c>
      <c r="B1770" t="s">
        <v>2401</v>
      </c>
    </row>
    <row r="1771" spans="1:2" x14ac:dyDescent="0.25">
      <c r="A1771" t="s">
        <v>606</v>
      </c>
      <c r="B1771" t="s">
        <v>1407</v>
      </c>
    </row>
    <row r="1772" spans="1:2" x14ac:dyDescent="0.25">
      <c r="A1772" t="s">
        <v>603</v>
      </c>
      <c r="B1772" t="s">
        <v>99</v>
      </c>
    </row>
    <row r="1773" spans="1:2" x14ac:dyDescent="0.25">
      <c r="A1773" t="s">
        <v>607</v>
      </c>
      <c r="B1773" t="s">
        <v>99</v>
      </c>
    </row>
    <row r="1774" spans="1:2" x14ac:dyDescent="0.25">
      <c r="A1774" t="s">
        <v>613</v>
      </c>
      <c r="B1774" t="s">
        <v>99</v>
      </c>
    </row>
    <row r="1775" spans="1:2" x14ac:dyDescent="0.25">
      <c r="A1775" t="s">
        <v>628</v>
      </c>
      <c r="B1775" t="s">
        <v>99</v>
      </c>
    </row>
    <row r="1776" spans="1:2" x14ac:dyDescent="0.25">
      <c r="A1776" t="s">
        <v>632</v>
      </c>
      <c r="B1776" t="s">
        <v>99</v>
      </c>
    </row>
    <row r="1777" spans="1:2" x14ac:dyDescent="0.25">
      <c r="A1777" t="s">
        <v>614</v>
      </c>
      <c r="B1777" t="s">
        <v>1842</v>
      </c>
    </row>
    <row r="1778" spans="1:2" x14ac:dyDescent="0.25">
      <c r="A1778" t="s">
        <v>615</v>
      </c>
      <c r="B1778" t="s">
        <v>790</v>
      </c>
    </row>
    <row r="1779" spans="1:2" x14ac:dyDescent="0.25">
      <c r="A1779" t="s">
        <v>617</v>
      </c>
      <c r="B1779" t="s">
        <v>790</v>
      </c>
    </row>
    <row r="1780" spans="1:2" x14ac:dyDescent="0.25">
      <c r="A1780" t="s">
        <v>607</v>
      </c>
      <c r="B1780" t="s">
        <v>1454</v>
      </c>
    </row>
    <row r="1781" spans="1:2" x14ac:dyDescent="0.25">
      <c r="A1781" t="s">
        <v>627</v>
      </c>
      <c r="B1781" t="s">
        <v>2362</v>
      </c>
    </row>
    <row r="1782" spans="1:2" x14ac:dyDescent="0.25">
      <c r="A1782" t="s">
        <v>633</v>
      </c>
      <c r="B1782" t="s">
        <v>2590</v>
      </c>
    </row>
    <row r="1783" spans="1:2" x14ac:dyDescent="0.25">
      <c r="A1783" t="s">
        <v>617</v>
      </c>
      <c r="B1783" t="s">
        <v>638</v>
      </c>
    </row>
    <row r="1784" spans="1:2" x14ac:dyDescent="0.25">
      <c r="A1784" t="s">
        <v>1012</v>
      </c>
      <c r="B1784" t="s">
        <v>1944</v>
      </c>
    </row>
    <row r="1785" spans="1:2" x14ac:dyDescent="0.25">
      <c r="A1785" t="s">
        <v>606</v>
      </c>
      <c r="B1785" t="s">
        <v>1391</v>
      </c>
    </row>
    <row r="1786" spans="1:2" x14ac:dyDescent="0.25">
      <c r="A1786" t="s">
        <v>618</v>
      </c>
      <c r="B1786" t="s">
        <v>1391</v>
      </c>
    </row>
    <row r="1787" spans="1:2" x14ac:dyDescent="0.25">
      <c r="A1787" t="s">
        <v>613</v>
      </c>
      <c r="B1787" t="s">
        <v>1797</v>
      </c>
    </row>
    <row r="1788" spans="1:2" x14ac:dyDescent="0.25">
      <c r="A1788" t="s">
        <v>615</v>
      </c>
      <c r="B1788" t="s">
        <v>1859</v>
      </c>
    </row>
    <row r="1789" spans="1:2" x14ac:dyDescent="0.25">
      <c r="A1789" t="s">
        <v>617</v>
      </c>
      <c r="B1789" t="s">
        <v>1859</v>
      </c>
    </row>
    <row r="1790" spans="1:2" x14ac:dyDescent="0.25">
      <c r="A1790" t="s">
        <v>624</v>
      </c>
      <c r="B1790" t="s">
        <v>2347</v>
      </c>
    </row>
    <row r="1791" spans="1:2" x14ac:dyDescent="0.25">
      <c r="A1791" t="s">
        <v>611</v>
      </c>
      <c r="B1791" t="s">
        <v>1692</v>
      </c>
    </row>
    <row r="1792" spans="1:2" x14ac:dyDescent="0.25">
      <c r="A1792" t="s">
        <v>631</v>
      </c>
      <c r="B1792" t="s">
        <v>650</v>
      </c>
    </row>
    <row r="1793" spans="1:2" x14ac:dyDescent="0.25">
      <c r="A1793" t="s">
        <v>615</v>
      </c>
      <c r="B1793" t="s">
        <v>1873</v>
      </c>
    </row>
    <row r="1794" spans="1:2" x14ac:dyDescent="0.25">
      <c r="A1794" t="s">
        <v>624</v>
      </c>
      <c r="B1794" t="s">
        <v>2846</v>
      </c>
    </row>
    <row r="1795" spans="1:2" x14ac:dyDescent="0.25">
      <c r="A1795" t="s">
        <v>915</v>
      </c>
      <c r="B1795" t="s">
        <v>2143</v>
      </c>
    </row>
    <row r="1796" spans="1:2" x14ac:dyDescent="0.25">
      <c r="A1796" t="s">
        <v>632</v>
      </c>
      <c r="B1796" t="s">
        <v>175</v>
      </c>
    </row>
    <row r="1797" spans="1:2" x14ac:dyDescent="0.25">
      <c r="A1797" t="s">
        <v>953</v>
      </c>
      <c r="B1797" t="s">
        <v>969</v>
      </c>
    </row>
    <row r="1798" spans="1:2" x14ac:dyDescent="0.25">
      <c r="A1798" t="s">
        <v>611</v>
      </c>
      <c r="B1798" t="s">
        <v>1705</v>
      </c>
    </row>
    <row r="1799" spans="1:2" x14ac:dyDescent="0.25">
      <c r="A1799" t="s">
        <v>953</v>
      </c>
      <c r="B1799" t="s">
        <v>2729</v>
      </c>
    </row>
    <row r="1800" spans="1:2" x14ac:dyDescent="0.25">
      <c r="A1800" t="s">
        <v>606</v>
      </c>
      <c r="B1800" t="s">
        <v>1371</v>
      </c>
    </row>
    <row r="1801" spans="1:2" x14ac:dyDescent="0.25">
      <c r="A1801" t="s">
        <v>608</v>
      </c>
      <c r="B1801" t="s">
        <v>1371</v>
      </c>
    </row>
    <row r="1802" spans="1:2" x14ac:dyDescent="0.25">
      <c r="A1802" t="s">
        <v>610</v>
      </c>
      <c r="B1802" t="s">
        <v>1371</v>
      </c>
    </row>
    <row r="1803" spans="1:2" x14ac:dyDescent="0.25">
      <c r="A1803" t="s">
        <v>610</v>
      </c>
      <c r="B1803" t="s">
        <v>1648</v>
      </c>
    </row>
    <row r="1804" spans="1:2" x14ac:dyDescent="0.25">
      <c r="A1804" t="s">
        <v>615</v>
      </c>
      <c r="B1804" t="s">
        <v>1882</v>
      </c>
    </row>
    <row r="1805" spans="1:2" x14ac:dyDescent="0.25">
      <c r="A1805" t="s">
        <v>611</v>
      </c>
      <c r="B1805" t="s">
        <v>1717</v>
      </c>
    </row>
    <row r="1806" spans="1:2" x14ac:dyDescent="0.25">
      <c r="A1806" t="s">
        <v>631</v>
      </c>
      <c r="B1806" t="s">
        <v>2514</v>
      </c>
    </row>
    <row r="1807" spans="1:2" x14ac:dyDescent="0.25">
      <c r="A1807" t="s">
        <v>953</v>
      </c>
      <c r="B1807" t="s">
        <v>980</v>
      </c>
    </row>
    <row r="1808" spans="1:2" x14ac:dyDescent="0.25">
      <c r="A1808" t="s">
        <v>606</v>
      </c>
      <c r="B1808" t="s">
        <v>1366</v>
      </c>
    </row>
    <row r="1809" spans="1:2" x14ac:dyDescent="0.25">
      <c r="A1809" t="s">
        <v>627</v>
      </c>
      <c r="B1809" t="s">
        <v>1366</v>
      </c>
    </row>
    <row r="1810" spans="1:2" x14ac:dyDescent="0.25">
      <c r="A1810" t="s">
        <v>631</v>
      </c>
      <c r="B1810" t="s">
        <v>1843</v>
      </c>
    </row>
    <row r="1811" spans="1:2" x14ac:dyDescent="0.25">
      <c r="A1811" t="s">
        <v>631</v>
      </c>
      <c r="B1811" t="s">
        <v>2528</v>
      </c>
    </row>
    <row r="1812" spans="1:2" x14ac:dyDescent="0.25">
      <c r="A1812" t="s">
        <v>609</v>
      </c>
      <c r="B1812" t="s">
        <v>1589</v>
      </c>
    </row>
    <row r="1813" spans="1:2" x14ac:dyDescent="0.25">
      <c r="A1813" t="s">
        <v>611</v>
      </c>
      <c r="B1813" t="s">
        <v>1712</v>
      </c>
    </row>
    <row r="1814" spans="1:2" x14ac:dyDescent="0.25">
      <c r="A1814" t="s">
        <v>629</v>
      </c>
      <c r="B1814" t="s">
        <v>2447</v>
      </c>
    </row>
    <row r="1815" spans="1:2" x14ac:dyDescent="0.25">
      <c r="A1815" t="s">
        <v>608</v>
      </c>
      <c r="B1815" t="s">
        <v>1480</v>
      </c>
    </row>
    <row r="1816" spans="1:2" x14ac:dyDescent="0.25">
      <c r="A1816" t="s">
        <v>1012</v>
      </c>
      <c r="B1816" t="s">
        <v>1480</v>
      </c>
    </row>
    <row r="1817" spans="1:2" x14ac:dyDescent="0.25">
      <c r="A1817" t="s">
        <v>953</v>
      </c>
      <c r="B1817" t="s">
        <v>966</v>
      </c>
    </row>
    <row r="1818" spans="1:2" x14ac:dyDescent="0.25">
      <c r="A1818" t="s">
        <v>2808</v>
      </c>
      <c r="B1818" t="s">
        <v>966</v>
      </c>
    </row>
    <row r="1819" spans="1:2" x14ac:dyDescent="0.25">
      <c r="A1819" t="s">
        <v>608</v>
      </c>
      <c r="B1819" t="s">
        <v>1500</v>
      </c>
    </row>
    <row r="1820" spans="1:2" x14ac:dyDescent="0.25">
      <c r="A1820" t="s">
        <v>831</v>
      </c>
      <c r="B1820" t="s">
        <v>1772</v>
      </c>
    </row>
    <row r="1821" spans="1:2" x14ac:dyDescent="0.25">
      <c r="A1821" t="s">
        <v>601</v>
      </c>
      <c r="B1821" t="s">
        <v>1121</v>
      </c>
    </row>
    <row r="1822" spans="1:2" x14ac:dyDescent="0.25">
      <c r="A1822" t="s">
        <v>622</v>
      </c>
      <c r="B1822" t="s">
        <v>2600</v>
      </c>
    </row>
    <row r="1823" spans="1:2" x14ac:dyDescent="0.25">
      <c r="A1823" t="s">
        <v>616</v>
      </c>
      <c r="B1823" t="s">
        <v>183</v>
      </c>
    </row>
    <row r="1824" spans="1:2" x14ac:dyDescent="0.25">
      <c r="A1824" t="s">
        <v>617</v>
      </c>
      <c r="B1824" t="s">
        <v>183</v>
      </c>
    </row>
    <row r="1825" spans="1:2" x14ac:dyDescent="0.25">
      <c r="A1825" t="s">
        <v>620</v>
      </c>
      <c r="B1825" t="s">
        <v>183</v>
      </c>
    </row>
    <row r="1826" spans="1:2" x14ac:dyDescent="0.25">
      <c r="A1826" t="s">
        <v>631</v>
      </c>
      <c r="B1826" t="s">
        <v>183</v>
      </c>
    </row>
    <row r="1827" spans="1:2" x14ac:dyDescent="0.25">
      <c r="A1827" t="s">
        <v>628</v>
      </c>
      <c r="B1827" t="s">
        <v>2425</v>
      </c>
    </row>
    <row r="1828" spans="1:2" x14ac:dyDescent="0.25">
      <c r="A1828" t="s">
        <v>601</v>
      </c>
      <c r="B1828" t="s">
        <v>1136</v>
      </c>
    </row>
    <row r="1829" spans="1:2" x14ac:dyDescent="0.25">
      <c r="A1829" t="s">
        <v>619</v>
      </c>
      <c r="B1829" t="s">
        <v>2124</v>
      </c>
    </row>
    <row r="1830" spans="1:2" x14ac:dyDescent="0.25">
      <c r="A1830" t="s">
        <v>618</v>
      </c>
      <c r="B1830" t="s">
        <v>2049</v>
      </c>
    </row>
    <row r="1831" spans="1:2" x14ac:dyDescent="0.25">
      <c r="A1831" t="s">
        <v>628</v>
      </c>
      <c r="B1831" t="s">
        <v>2420</v>
      </c>
    </row>
    <row r="1832" spans="1:2" x14ac:dyDescent="0.25">
      <c r="A1832" t="s">
        <v>601</v>
      </c>
      <c r="B1832" t="s">
        <v>973</v>
      </c>
    </row>
    <row r="1833" spans="1:2" x14ac:dyDescent="0.25">
      <c r="A1833" t="s">
        <v>603</v>
      </c>
      <c r="B1833" t="s">
        <v>973</v>
      </c>
    </row>
    <row r="1834" spans="1:2" x14ac:dyDescent="0.25">
      <c r="A1834" t="s">
        <v>611</v>
      </c>
      <c r="B1834" t="s">
        <v>973</v>
      </c>
    </row>
    <row r="1835" spans="1:2" x14ac:dyDescent="0.25">
      <c r="A1835" t="s">
        <v>612</v>
      </c>
      <c r="B1835" t="s">
        <v>973</v>
      </c>
    </row>
    <row r="1836" spans="1:2" x14ac:dyDescent="0.25">
      <c r="A1836" t="s">
        <v>616</v>
      </c>
      <c r="B1836" t="s">
        <v>973</v>
      </c>
    </row>
    <row r="1837" spans="1:2" x14ac:dyDescent="0.25">
      <c r="A1837" t="s">
        <v>1045</v>
      </c>
      <c r="B1837" t="s">
        <v>673</v>
      </c>
    </row>
    <row r="1838" spans="1:2" x14ac:dyDescent="0.25">
      <c r="A1838" t="s">
        <v>605</v>
      </c>
      <c r="B1838" t="s">
        <v>44</v>
      </c>
    </row>
    <row r="1839" spans="1:2" x14ac:dyDescent="0.25">
      <c r="A1839" t="s">
        <v>630</v>
      </c>
      <c r="B1839" t="s">
        <v>2488</v>
      </c>
    </row>
    <row r="1840" spans="1:2" x14ac:dyDescent="0.25">
      <c r="A1840" t="s">
        <v>630</v>
      </c>
      <c r="B1840" t="s">
        <v>2457</v>
      </c>
    </row>
    <row r="1841" spans="1:2" x14ac:dyDescent="0.25">
      <c r="A1841" t="s">
        <v>629</v>
      </c>
      <c r="B1841" t="s">
        <v>788</v>
      </c>
    </row>
    <row r="1842" spans="1:2" x14ac:dyDescent="0.25">
      <c r="A1842" t="s">
        <v>602</v>
      </c>
      <c r="B1842" t="s">
        <v>1201</v>
      </c>
    </row>
    <row r="1843" spans="1:2" x14ac:dyDescent="0.25">
      <c r="A1843" t="s">
        <v>609</v>
      </c>
      <c r="B1843" t="s">
        <v>1549</v>
      </c>
    </row>
    <row r="1844" spans="1:2" x14ac:dyDescent="0.25">
      <c r="A1844" t="s">
        <v>616</v>
      </c>
      <c r="B1844" t="s">
        <v>140</v>
      </c>
    </row>
    <row r="1845" spans="1:2" x14ac:dyDescent="0.25">
      <c r="A1845" t="s">
        <v>630</v>
      </c>
      <c r="B1845" t="s">
        <v>2472</v>
      </c>
    </row>
    <row r="1846" spans="1:2" x14ac:dyDescent="0.25">
      <c r="A1846" t="s">
        <v>627</v>
      </c>
      <c r="B1846" t="s">
        <v>2372</v>
      </c>
    </row>
    <row r="1847" spans="1:2" x14ac:dyDescent="0.25">
      <c r="A1847" t="s">
        <v>631</v>
      </c>
      <c r="B1847" t="s">
        <v>2519</v>
      </c>
    </row>
    <row r="1848" spans="1:2" x14ac:dyDescent="0.25">
      <c r="A1848" t="s">
        <v>609</v>
      </c>
      <c r="B1848" t="s">
        <v>1543</v>
      </c>
    </row>
    <row r="1849" spans="1:2" x14ac:dyDescent="0.25">
      <c r="A1849" t="s">
        <v>635</v>
      </c>
      <c r="B1849" t="s">
        <v>1969</v>
      </c>
    </row>
    <row r="1850" spans="1:2" x14ac:dyDescent="0.25">
      <c r="A1850" t="s">
        <v>620</v>
      </c>
      <c r="B1850" t="s">
        <v>2766</v>
      </c>
    </row>
    <row r="1851" spans="1:2" x14ac:dyDescent="0.25">
      <c r="A1851" t="s">
        <v>602</v>
      </c>
      <c r="B1851" t="s">
        <v>1164</v>
      </c>
    </row>
    <row r="1852" spans="1:2" x14ac:dyDescent="0.25">
      <c r="A1852" t="s">
        <v>1045</v>
      </c>
      <c r="B1852" t="s">
        <v>2082</v>
      </c>
    </row>
    <row r="1853" spans="1:2" x14ac:dyDescent="0.25">
      <c r="A1853" t="s">
        <v>1012</v>
      </c>
      <c r="B1853" t="s">
        <v>1613</v>
      </c>
    </row>
    <row r="1854" spans="1:2" x14ac:dyDescent="0.25">
      <c r="A1854" t="s">
        <v>2616</v>
      </c>
      <c r="B1854" t="s">
        <v>2642</v>
      </c>
    </row>
    <row r="1855" spans="1:2" x14ac:dyDescent="0.25">
      <c r="A1855" t="s">
        <v>605</v>
      </c>
      <c r="B1855" t="s">
        <v>1345</v>
      </c>
    </row>
    <row r="1856" spans="1:2" x14ac:dyDescent="0.25">
      <c r="A1856" t="s">
        <v>608</v>
      </c>
      <c r="B1856" t="s">
        <v>1515</v>
      </c>
    </row>
    <row r="1857" spans="1:2" x14ac:dyDescent="0.25">
      <c r="A1857" t="s">
        <v>609</v>
      </c>
      <c r="B1857" t="s">
        <v>1571</v>
      </c>
    </row>
    <row r="1858" spans="1:2" x14ac:dyDescent="0.25">
      <c r="A1858" t="s">
        <v>609</v>
      </c>
      <c r="B1858" t="s">
        <v>1567</v>
      </c>
    </row>
    <row r="1859" spans="1:2" x14ac:dyDescent="0.25">
      <c r="A1859" t="s">
        <v>618</v>
      </c>
      <c r="B1859" t="s">
        <v>2040</v>
      </c>
    </row>
    <row r="1860" spans="1:2" x14ac:dyDescent="0.25">
      <c r="A1860" t="s">
        <v>608</v>
      </c>
      <c r="B1860" t="s">
        <v>1512</v>
      </c>
    </row>
    <row r="1861" spans="1:2" x14ac:dyDescent="0.25">
      <c r="A1861" t="s">
        <v>632</v>
      </c>
      <c r="B1861" t="s">
        <v>1512</v>
      </c>
    </row>
    <row r="1862" spans="1:2" x14ac:dyDescent="0.25">
      <c r="A1862" t="s">
        <v>603</v>
      </c>
      <c r="B1862" t="s">
        <v>1250</v>
      </c>
    </row>
    <row r="1863" spans="1:2" x14ac:dyDescent="0.25">
      <c r="A1863" t="s">
        <v>607</v>
      </c>
      <c r="B1863" t="s">
        <v>1411</v>
      </c>
    </row>
    <row r="1864" spans="1:2" x14ac:dyDescent="0.25">
      <c r="A1864" t="s">
        <v>2616</v>
      </c>
      <c r="B1864" t="s">
        <v>2671</v>
      </c>
    </row>
    <row r="1865" spans="1:2" x14ac:dyDescent="0.25">
      <c r="A1865" t="s">
        <v>627</v>
      </c>
      <c r="B1865" t="s">
        <v>2395</v>
      </c>
    </row>
    <row r="1866" spans="1:2" x14ac:dyDescent="0.25">
      <c r="A1866" t="s">
        <v>2616</v>
      </c>
      <c r="B1866" t="s">
        <v>2649</v>
      </c>
    </row>
    <row r="1867" spans="1:2" x14ac:dyDescent="0.25">
      <c r="A1867" t="s">
        <v>619</v>
      </c>
      <c r="B1867" t="s">
        <v>2127</v>
      </c>
    </row>
    <row r="1868" spans="1:2" x14ac:dyDescent="0.25">
      <c r="A1868" t="s">
        <v>2616</v>
      </c>
      <c r="B1868" t="s">
        <v>2725</v>
      </c>
    </row>
    <row r="1869" spans="1:2" x14ac:dyDescent="0.25">
      <c r="A1869" t="s">
        <v>601</v>
      </c>
      <c r="B1869" t="s">
        <v>14</v>
      </c>
    </row>
    <row r="1870" spans="1:2" x14ac:dyDescent="0.25">
      <c r="A1870" t="s">
        <v>620</v>
      </c>
      <c r="B1870" t="s">
        <v>14</v>
      </c>
    </row>
    <row r="1871" spans="1:2" x14ac:dyDescent="0.25">
      <c r="A1871" t="s">
        <v>628</v>
      </c>
      <c r="B1871" t="s">
        <v>14</v>
      </c>
    </row>
    <row r="1872" spans="1:2" x14ac:dyDescent="0.25">
      <c r="A1872" t="s">
        <v>633</v>
      </c>
      <c r="B1872" t="s">
        <v>14</v>
      </c>
    </row>
    <row r="1873" spans="1:2" x14ac:dyDescent="0.25">
      <c r="A1873" t="s">
        <v>606</v>
      </c>
      <c r="B1873" t="s">
        <v>963</v>
      </c>
    </row>
    <row r="1874" spans="1:2" x14ac:dyDescent="0.25">
      <c r="A1874" t="s">
        <v>610</v>
      </c>
      <c r="B1874" t="s">
        <v>963</v>
      </c>
    </row>
    <row r="1875" spans="1:2" x14ac:dyDescent="0.25">
      <c r="A1875" t="s">
        <v>620</v>
      </c>
      <c r="B1875" t="s">
        <v>963</v>
      </c>
    </row>
    <row r="1876" spans="1:2" x14ac:dyDescent="0.25">
      <c r="A1876" t="s">
        <v>623</v>
      </c>
      <c r="B1876" t="s">
        <v>963</v>
      </c>
    </row>
    <row r="1877" spans="1:2" x14ac:dyDescent="0.25">
      <c r="A1877" t="s">
        <v>628</v>
      </c>
      <c r="B1877" t="s">
        <v>963</v>
      </c>
    </row>
    <row r="1878" spans="1:2" x14ac:dyDescent="0.25">
      <c r="A1878" t="s">
        <v>623</v>
      </c>
      <c r="B1878" t="s">
        <v>2268</v>
      </c>
    </row>
    <row r="1879" spans="1:2" x14ac:dyDescent="0.25">
      <c r="A1879" t="s">
        <v>2616</v>
      </c>
      <c r="B1879" t="s">
        <v>2676</v>
      </c>
    </row>
    <row r="1880" spans="1:2" x14ac:dyDescent="0.25">
      <c r="A1880" t="s">
        <v>619</v>
      </c>
      <c r="B1880" t="s">
        <v>2115</v>
      </c>
    </row>
    <row r="1881" spans="1:2" x14ac:dyDescent="0.25">
      <c r="A1881" t="s">
        <v>604</v>
      </c>
      <c r="B1881" t="s">
        <v>1272</v>
      </c>
    </row>
    <row r="1882" spans="1:2" x14ac:dyDescent="0.25">
      <c r="A1882" t="s">
        <v>604</v>
      </c>
      <c r="B1882" t="s">
        <v>6</v>
      </c>
    </row>
    <row r="1883" spans="1:2" x14ac:dyDescent="0.25">
      <c r="A1883" t="s">
        <v>605</v>
      </c>
      <c r="B1883" t="s">
        <v>6</v>
      </c>
    </row>
    <row r="1884" spans="1:2" x14ac:dyDescent="0.25">
      <c r="A1884" t="s">
        <v>831</v>
      </c>
      <c r="B1884" t="s">
        <v>6</v>
      </c>
    </row>
    <row r="1885" spans="1:2" x14ac:dyDescent="0.25">
      <c r="A1885" t="s">
        <v>613</v>
      </c>
      <c r="B1885" t="s">
        <v>6</v>
      </c>
    </row>
    <row r="1886" spans="1:2" x14ac:dyDescent="0.25">
      <c r="A1886" t="s">
        <v>635</v>
      </c>
      <c r="B1886" t="s">
        <v>6</v>
      </c>
    </row>
    <row r="1887" spans="1:2" x14ac:dyDescent="0.25">
      <c r="A1887" t="s">
        <v>2808</v>
      </c>
      <c r="B1887" t="s">
        <v>6</v>
      </c>
    </row>
    <row r="1888" spans="1:2" x14ac:dyDescent="0.25">
      <c r="A1888" t="s">
        <v>632</v>
      </c>
      <c r="B1888" t="s">
        <v>6</v>
      </c>
    </row>
    <row r="1889" spans="1:2" x14ac:dyDescent="0.25">
      <c r="A1889" t="s">
        <v>604</v>
      </c>
      <c r="B1889" t="s">
        <v>1288</v>
      </c>
    </row>
    <row r="1890" spans="1:2" x14ac:dyDescent="0.25">
      <c r="A1890" t="s">
        <v>613</v>
      </c>
      <c r="B1890" t="s">
        <v>1812</v>
      </c>
    </row>
    <row r="1891" spans="1:2" x14ac:dyDescent="0.25">
      <c r="A1891" t="s">
        <v>611</v>
      </c>
      <c r="B1891" t="s">
        <v>1702</v>
      </c>
    </row>
    <row r="1892" spans="1:2" x14ac:dyDescent="0.25">
      <c r="A1892" t="s">
        <v>612</v>
      </c>
      <c r="B1892" t="s">
        <v>1702</v>
      </c>
    </row>
    <row r="1893" spans="1:2" x14ac:dyDescent="0.25">
      <c r="A1893" t="s">
        <v>601</v>
      </c>
      <c r="B1893" t="s">
        <v>1150</v>
      </c>
    </row>
    <row r="1894" spans="1:2" x14ac:dyDescent="0.25">
      <c r="A1894" t="s">
        <v>620</v>
      </c>
      <c r="B1894" t="s">
        <v>117</v>
      </c>
    </row>
    <row r="1895" spans="1:2" x14ac:dyDescent="0.25">
      <c r="A1895" t="s">
        <v>632</v>
      </c>
      <c r="B1895" t="s">
        <v>117</v>
      </c>
    </row>
    <row r="1896" spans="1:2" x14ac:dyDescent="0.25">
      <c r="A1896" t="s">
        <v>633</v>
      </c>
      <c r="B1896" t="s">
        <v>117</v>
      </c>
    </row>
    <row r="1897" spans="1:2" x14ac:dyDescent="0.25">
      <c r="A1897" t="s">
        <v>606</v>
      </c>
      <c r="B1897" t="s">
        <v>1368</v>
      </c>
    </row>
    <row r="1898" spans="1:2" x14ac:dyDescent="0.25">
      <c r="A1898" t="s">
        <v>601</v>
      </c>
      <c r="B1898" t="s">
        <v>1142</v>
      </c>
    </row>
    <row r="1899" spans="1:2" x14ac:dyDescent="0.25">
      <c r="A1899" t="s">
        <v>603</v>
      </c>
      <c r="B1899" t="s">
        <v>1142</v>
      </c>
    </row>
    <row r="1900" spans="1:2" x14ac:dyDescent="0.25">
      <c r="A1900" t="s">
        <v>611</v>
      </c>
      <c r="B1900" t="s">
        <v>1142</v>
      </c>
    </row>
    <row r="1901" spans="1:2" x14ac:dyDescent="0.25">
      <c r="A1901" t="s">
        <v>615</v>
      </c>
      <c r="B1901" t="s">
        <v>1142</v>
      </c>
    </row>
    <row r="1902" spans="1:2" x14ac:dyDescent="0.25">
      <c r="A1902" t="s">
        <v>617</v>
      </c>
      <c r="B1902" t="s">
        <v>1142</v>
      </c>
    </row>
    <row r="1903" spans="1:2" x14ac:dyDescent="0.25">
      <c r="A1903" t="s">
        <v>622</v>
      </c>
      <c r="B1903" t="s">
        <v>1142</v>
      </c>
    </row>
    <row r="1904" spans="1:2" x14ac:dyDescent="0.25">
      <c r="A1904" t="s">
        <v>629</v>
      </c>
      <c r="B1904" t="s">
        <v>1142</v>
      </c>
    </row>
    <row r="1905" spans="1:2" x14ac:dyDescent="0.25">
      <c r="A1905" t="s">
        <v>609</v>
      </c>
      <c r="B1905" t="s">
        <v>1594</v>
      </c>
    </row>
    <row r="1906" spans="1:2" x14ac:dyDescent="0.25">
      <c r="A1906" t="s">
        <v>632</v>
      </c>
      <c r="B1906" t="s">
        <v>2542</v>
      </c>
    </row>
    <row r="1907" spans="1:2" x14ac:dyDescent="0.25">
      <c r="A1907" t="s">
        <v>619</v>
      </c>
      <c r="B1907" t="s">
        <v>2122</v>
      </c>
    </row>
    <row r="1908" spans="1:2" x14ac:dyDescent="0.25">
      <c r="A1908" t="s">
        <v>617</v>
      </c>
      <c r="B1908" t="s">
        <v>1819</v>
      </c>
    </row>
    <row r="1909" spans="1:2" x14ac:dyDescent="0.25">
      <c r="A1909" t="s">
        <v>620</v>
      </c>
      <c r="B1909" t="s">
        <v>2172</v>
      </c>
    </row>
    <row r="1910" spans="1:2" x14ac:dyDescent="0.25">
      <c r="A1910" t="s">
        <v>607</v>
      </c>
      <c r="B1910" t="s">
        <v>1453</v>
      </c>
    </row>
    <row r="1911" spans="1:2" x14ac:dyDescent="0.25">
      <c r="A1911" t="s">
        <v>614</v>
      </c>
      <c r="B1911" t="s">
        <v>897</v>
      </c>
    </row>
    <row r="1912" spans="1:2" x14ac:dyDescent="0.25">
      <c r="A1912" t="s">
        <v>630</v>
      </c>
      <c r="B1912" t="s">
        <v>54</v>
      </c>
    </row>
    <row r="1913" spans="1:2" x14ac:dyDescent="0.25">
      <c r="A1913" t="s">
        <v>609</v>
      </c>
      <c r="B1913" t="s">
        <v>1544</v>
      </c>
    </row>
    <row r="1914" spans="1:2" x14ac:dyDescent="0.25">
      <c r="A1914" t="s">
        <v>631</v>
      </c>
      <c r="B1914" t="s">
        <v>2509</v>
      </c>
    </row>
    <row r="1915" spans="1:2" x14ac:dyDescent="0.25">
      <c r="A1915" t="s">
        <v>601</v>
      </c>
      <c r="B1915" t="s">
        <v>3</v>
      </c>
    </row>
    <row r="1916" spans="1:2" x14ac:dyDescent="0.25">
      <c r="A1916" t="s">
        <v>602</v>
      </c>
      <c r="B1916" t="s">
        <v>3</v>
      </c>
    </row>
    <row r="1917" spans="1:2" x14ac:dyDescent="0.25">
      <c r="A1917" t="s">
        <v>603</v>
      </c>
      <c r="B1917" t="s">
        <v>3</v>
      </c>
    </row>
    <row r="1918" spans="1:2" x14ac:dyDescent="0.25">
      <c r="A1918" t="s">
        <v>604</v>
      </c>
      <c r="B1918" t="s">
        <v>3</v>
      </c>
    </row>
    <row r="1919" spans="1:2" x14ac:dyDescent="0.25">
      <c r="A1919" t="s">
        <v>605</v>
      </c>
      <c r="B1919" t="s">
        <v>3</v>
      </c>
    </row>
    <row r="1920" spans="1:2" x14ac:dyDescent="0.25">
      <c r="A1920" t="s">
        <v>606</v>
      </c>
      <c r="B1920" t="s">
        <v>3</v>
      </c>
    </row>
    <row r="1921" spans="1:2" x14ac:dyDescent="0.25">
      <c r="A1921" t="s">
        <v>608</v>
      </c>
      <c r="B1921" t="s">
        <v>3</v>
      </c>
    </row>
    <row r="1922" spans="1:2" x14ac:dyDescent="0.25">
      <c r="A1922" t="s">
        <v>610</v>
      </c>
      <c r="B1922" t="s">
        <v>3</v>
      </c>
    </row>
    <row r="1923" spans="1:2" x14ac:dyDescent="0.25">
      <c r="A1923" t="s">
        <v>611</v>
      </c>
      <c r="B1923" t="s">
        <v>3</v>
      </c>
    </row>
    <row r="1924" spans="1:2" x14ac:dyDescent="0.25">
      <c r="A1924" t="s">
        <v>612</v>
      </c>
      <c r="B1924" t="s">
        <v>3</v>
      </c>
    </row>
    <row r="1925" spans="1:2" x14ac:dyDescent="0.25">
      <c r="A1925" t="s">
        <v>831</v>
      </c>
      <c r="B1925" t="s">
        <v>3</v>
      </c>
    </row>
    <row r="1926" spans="1:2" x14ac:dyDescent="0.25">
      <c r="A1926" t="s">
        <v>635</v>
      </c>
      <c r="B1926" t="s">
        <v>3</v>
      </c>
    </row>
    <row r="1927" spans="1:2" x14ac:dyDescent="0.25">
      <c r="A1927" t="s">
        <v>618</v>
      </c>
      <c r="B1927" t="s">
        <v>3</v>
      </c>
    </row>
    <row r="1928" spans="1:2" x14ac:dyDescent="0.25">
      <c r="A1928" t="s">
        <v>619</v>
      </c>
      <c r="B1928" t="s">
        <v>3</v>
      </c>
    </row>
    <row r="1929" spans="1:2" x14ac:dyDescent="0.25">
      <c r="A1929" t="s">
        <v>620</v>
      </c>
      <c r="B1929" t="s">
        <v>3</v>
      </c>
    </row>
    <row r="1930" spans="1:2" x14ac:dyDescent="0.25">
      <c r="A1930" t="s">
        <v>623</v>
      </c>
      <c r="B1930" t="s">
        <v>3</v>
      </c>
    </row>
    <row r="1931" spans="1:2" x14ac:dyDescent="0.25">
      <c r="A1931" t="s">
        <v>624</v>
      </c>
      <c r="B1931" t="s">
        <v>3</v>
      </c>
    </row>
    <row r="1932" spans="1:2" x14ac:dyDescent="0.25">
      <c r="A1932" t="s">
        <v>628</v>
      </c>
      <c r="B1932" t="s">
        <v>3</v>
      </c>
    </row>
    <row r="1933" spans="1:2" x14ac:dyDescent="0.25">
      <c r="A1933" t="s">
        <v>630</v>
      </c>
      <c r="B1933" t="s">
        <v>3</v>
      </c>
    </row>
    <row r="1934" spans="1:2" x14ac:dyDescent="0.25">
      <c r="A1934" t="s">
        <v>631</v>
      </c>
      <c r="B1934" t="s">
        <v>3</v>
      </c>
    </row>
    <row r="1935" spans="1:2" x14ac:dyDescent="0.25">
      <c r="A1935" t="s">
        <v>632</v>
      </c>
      <c r="B1935" t="s">
        <v>3</v>
      </c>
    </row>
    <row r="1936" spans="1:2" x14ac:dyDescent="0.25">
      <c r="A1936" t="s">
        <v>2808</v>
      </c>
      <c r="B1936" t="s">
        <v>2320</v>
      </c>
    </row>
    <row r="1937" spans="1:2" x14ac:dyDescent="0.25">
      <c r="A1937" t="s">
        <v>622</v>
      </c>
      <c r="B1937" t="s">
        <v>2200</v>
      </c>
    </row>
    <row r="1938" spans="1:2" x14ac:dyDescent="0.25">
      <c r="A1938" t="s">
        <v>620</v>
      </c>
      <c r="B1938" t="s">
        <v>2182</v>
      </c>
    </row>
    <row r="1939" spans="1:2" x14ac:dyDescent="0.25">
      <c r="A1939" t="s">
        <v>610</v>
      </c>
      <c r="B1939" t="s">
        <v>1652</v>
      </c>
    </row>
    <row r="1940" spans="1:2" x14ac:dyDescent="0.25">
      <c r="A1940" t="s">
        <v>615</v>
      </c>
      <c r="B1940" t="s">
        <v>1878</v>
      </c>
    </row>
    <row r="1941" spans="1:2" x14ac:dyDescent="0.25">
      <c r="A1941" t="s">
        <v>617</v>
      </c>
      <c r="B1941" t="s">
        <v>2008</v>
      </c>
    </row>
    <row r="1942" spans="1:2" x14ac:dyDescent="0.25">
      <c r="A1942" t="s">
        <v>617</v>
      </c>
      <c r="B1942" t="s">
        <v>2025</v>
      </c>
    </row>
    <row r="1943" spans="1:2" x14ac:dyDescent="0.25">
      <c r="A1943" t="s">
        <v>624</v>
      </c>
      <c r="B1943" t="s">
        <v>2025</v>
      </c>
    </row>
    <row r="1944" spans="1:2" x14ac:dyDescent="0.25">
      <c r="A1944" t="s">
        <v>604</v>
      </c>
      <c r="B1944" t="s">
        <v>1286</v>
      </c>
    </row>
    <row r="1945" spans="1:2" x14ac:dyDescent="0.25">
      <c r="A1945" t="s">
        <v>628</v>
      </c>
      <c r="B1945" t="s">
        <v>2622</v>
      </c>
    </row>
    <row r="1946" spans="1:2" x14ac:dyDescent="0.25">
      <c r="A1946" t="s">
        <v>603</v>
      </c>
      <c r="B1946" t="s">
        <v>1229</v>
      </c>
    </row>
    <row r="1947" spans="1:2" x14ac:dyDescent="0.25">
      <c r="A1947" t="s">
        <v>629</v>
      </c>
      <c r="B1947" t="s">
        <v>2438</v>
      </c>
    </row>
    <row r="1948" spans="1:2" x14ac:dyDescent="0.25">
      <c r="A1948" t="s">
        <v>604</v>
      </c>
      <c r="B1948" t="s">
        <v>1298</v>
      </c>
    </row>
    <row r="1949" spans="1:2" x14ac:dyDescent="0.25">
      <c r="A1949" t="s">
        <v>608</v>
      </c>
      <c r="B1949" t="s">
        <v>1516</v>
      </c>
    </row>
    <row r="1950" spans="1:2" x14ac:dyDescent="0.25">
      <c r="A1950" t="s">
        <v>632</v>
      </c>
      <c r="B1950" t="s">
        <v>1516</v>
      </c>
    </row>
    <row r="1951" spans="1:2" x14ac:dyDescent="0.25">
      <c r="A1951" t="s">
        <v>632</v>
      </c>
      <c r="B1951" t="s">
        <v>2543</v>
      </c>
    </row>
    <row r="1952" spans="1:2" x14ac:dyDescent="0.25">
      <c r="A1952" t="s">
        <v>606</v>
      </c>
      <c r="B1952" t="s">
        <v>1396</v>
      </c>
    </row>
    <row r="1953" spans="1:2" x14ac:dyDescent="0.25">
      <c r="A1953" t="s">
        <v>605</v>
      </c>
      <c r="B1953" t="s">
        <v>1333</v>
      </c>
    </row>
    <row r="1954" spans="1:2" x14ac:dyDescent="0.25">
      <c r="A1954" t="s">
        <v>619</v>
      </c>
      <c r="B1954" t="s">
        <v>2605</v>
      </c>
    </row>
    <row r="1955" spans="1:2" x14ac:dyDescent="0.25">
      <c r="A1955" t="s">
        <v>619</v>
      </c>
      <c r="B1955" t="s">
        <v>2128</v>
      </c>
    </row>
    <row r="1956" spans="1:2" x14ac:dyDescent="0.25">
      <c r="A1956" t="s">
        <v>620</v>
      </c>
      <c r="B1956" t="s">
        <v>2192</v>
      </c>
    </row>
    <row r="1957" spans="1:2" x14ac:dyDescent="0.25">
      <c r="A1957" t="s">
        <v>613</v>
      </c>
      <c r="B1957" t="s">
        <v>625</v>
      </c>
    </row>
    <row r="1958" spans="1:2" x14ac:dyDescent="0.25">
      <c r="A1958" t="s">
        <v>635</v>
      </c>
      <c r="B1958" t="s">
        <v>625</v>
      </c>
    </row>
    <row r="1959" spans="1:2" x14ac:dyDescent="0.25">
      <c r="A1959" t="s">
        <v>605</v>
      </c>
      <c r="B1959" t="s">
        <v>1356</v>
      </c>
    </row>
    <row r="1960" spans="1:2" x14ac:dyDescent="0.25">
      <c r="A1960" t="s">
        <v>601</v>
      </c>
      <c r="B1960" t="s">
        <v>1133</v>
      </c>
    </row>
    <row r="1961" spans="1:2" x14ac:dyDescent="0.25">
      <c r="A1961" t="s">
        <v>615</v>
      </c>
      <c r="B1961" t="s">
        <v>1133</v>
      </c>
    </row>
    <row r="1962" spans="1:2" x14ac:dyDescent="0.25">
      <c r="A1962" t="s">
        <v>617</v>
      </c>
      <c r="B1962" t="s">
        <v>1133</v>
      </c>
    </row>
    <row r="1963" spans="1:2" x14ac:dyDescent="0.25">
      <c r="A1963" t="s">
        <v>603</v>
      </c>
      <c r="B1963" t="s">
        <v>1215</v>
      </c>
    </row>
    <row r="1964" spans="1:2" x14ac:dyDescent="0.25">
      <c r="A1964" t="s">
        <v>611</v>
      </c>
      <c r="B1964" t="s">
        <v>1215</v>
      </c>
    </row>
    <row r="1965" spans="1:2" x14ac:dyDescent="0.25">
      <c r="A1965" t="s">
        <v>612</v>
      </c>
      <c r="B1965" t="s">
        <v>1215</v>
      </c>
    </row>
    <row r="1966" spans="1:2" x14ac:dyDescent="0.25">
      <c r="A1966" t="s">
        <v>953</v>
      </c>
      <c r="B1966" t="s">
        <v>1790</v>
      </c>
    </row>
    <row r="1967" spans="1:2" x14ac:dyDescent="0.25">
      <c r="A1967" t="s">
        <v>613</v>
      </c>
      <c r="B1967" t="s">
        <v>1790</v>
      </c>
    </row>
    <row r="1968" spans="1:2" x14ac:dyDescent="0.25">
      <c r="A1968" t="s">
        <v>622</v>
      </c>
      <c r="B1968" t="s">
        <v>2196</v>
      </c>
    </row>
    <row r="1969" spans="1:2" x14ac:dyDescent="0.25">
      <c r="A1969" t="s">
        <v>611</v>
      </c>
      <c r="B1969" t="s">
        <v>1694</v>
      </c>
    </row>
    <row r="1970" spans="1:2" x14ac:dyDescent="0.25">
      <c r="A1970" t="s">
        <v>612</v>
      </c>
      <c r="B1970" t="s">
        <v>1694</v>
      </c>
    </row>
    <row r="1971" spans="1:2" x14ac:dyDescent="0.25">
      <c r="A1971" t="s">
        <v>604</v>
      </c>
      <c r="B1971" t="s">
        <v>1311</v>
      </c>
    </row>
    <row r="1972" spans="1:2" x14ac:dyDescent="0.25">
      <c r="A1972" t="s">
        <v>610</v>
      </c>
      <c r="B1972" t="s">
        <v>1655</v>
      </c>
    </row>
    <row r="1973" spans="1:2" x14ac:dyDescent="0.25">
      <c r="A1973" t="s">
        <v>615</v>
      </c>
      <c r="B1973" t="s">
        <v>132</v>
      </c>
    </row>
    <row r="1974" spans="1:2" x14ac:dyDescent="0.25">
      <c r="A1974" t="s">
        <v>624</v>
      </c>
      <c r="B1974" t="s">
        <v>132</v>
      </c>
    </row>
    <row r="1975" spans="1:2" x14ac:dyDescent="0.25">
      <c r="A1975" t="s">
        <v>628</v>
      </c>
      <c r="B1975" t="s">
        <v>2429</v>
      </c>
    </row>
    <row r="1976" spans="1:2" x14ac:dyDescent="0.25">
      <c r="A1976" t="s">
        <v>610</v>
      </c>
      <c r="B1976" t="s">
        <v>1629</v>
      </c>
    </row>
    <row r="1977" spans="1:2" x14ac:dyDescent="0.25">
      <c r="A1977" t="s">
        <v>622</v>
      </c>
      <c r="B1977" t="s">
        <v>1629</v>
      </c>
    </row>
    <row r="1978" spans="1:2" x14ac:dyDescent="0.25">
      <c r="A1978" t="s">
        <v>613</v>
      </c>
      <c r="B1978" t="s">
        <v>1798</v>
      </c>
    </row>
    <row r="1979" spans="1:2" x14ac:dyDescent="0.25">
      <c r="A1979" t="s">
        <v>608</v>
      </c>
      <c r="B1979" t="s">
        <v>1490</v>
      </c>
    </row>
    <row r="1980" spans="1:2" x14ac:dyDescent="0.25">
      <c r="A1980" t="s">
        <v>635</v>
      </c>
      <c r="B1980" t="s">
        <v>1490</v>
      </c>
    </row>
    <row r="1981" spans="1:2" x14ac:dyDescent="0.25">
      <c r="A1981" t="s">
        <v>2808</v>
      </c>
      <c r="B1981" t="s">
        <v>1490</v>
      </c>
    </row>
    <row r="1982" spans="1:2" x14ac:dyDescent="0.25">
      <c r="A1982" t="s">
        <v>613</v>
      </c>
      <c r="B1982" t="s">
        <v>1815</v>
      </c>
    </row>
    <row r="1983" spans="1:2" x14ac:dyDescent="0.25">
      <c r="A1983" t="s">
        <v>622</v>
      </c>
      <c r="B1983" t="s">
        <v>2228</v>
      </c>
    </row>
    <row r="1984" spans="1:2" x14ac:dyDescent="0.25">
      <c r="A1984" t="s">
        <v>616</v>
      </c>
      <c r="B1984" t="s">
        <v>1923</v>
      </c>
    </row>
    <row r="1985" spans="1:2" x14ac:dyDescent="0.25">
      <c r="A1985" t="s">
        <v>613</v>
      </c>
      <c r="B1985" t="s">
        <v>1794</v>
      </c>
    </row>
    <row r="1986" spans="1:2" x14ac:dyDescent="0.25">
      <c r="A1986" t="s">
        <v>635</v>
      </c>
      <c r="B1986" t="s">
        <v>764</v>
      </c>
    </row>
    <row r="1987" spans="1:2" x14ac:dyDescent="0.25">
      <c r="A1987" t="s">
        <v>619</v>
      </c>
      <c r="B1987" t="s">
        <v>2093</v>
      </c>
    </row>
    <row r="1988" spans="1:2" x14ac:dyDescent="0.25">
      <c r="A1988" t="s">
        <v>609</v>
      </c>
      <c r="B1988" t="s">
        <v>1596</v>
      </c>
    </row>
    <row r="1989" spans="1:2" x14ac:dyDescent="0.25">
      <c r="A1989" t="s">
        <v>602</v>
      </c>
      <c r="B1989" t="s">
        <v>636</v>
      </c>
    </row>
    <row r="1990" spans="1:2" x14ac:dyDescent="0.25">
      <c r="A1990" t="s">
        <v>605</v>
      </c>
      <c r="B1990" t="s">
        <v>636</v>
      </c>
    </row>
    <row r="1991" spans="1:2" x14ac:dyDescent="0.25">
      <c r="A1991" t="s">
        <v>607</v>
      </c>
      <c r="B1991" t="s">
        <v>636</v>
      </c>
    </row>
    <row r="1992" spans="1:2" x14ac:dyDescent="0.25">
      <c r="A1992" t="s">
        <v>613</v>
      </c>
      <c r="B1992" t="s">
        <v>636</v>
      </c>
    </row>
    <row r="1993" spans="1:2" x14ac:dyDescent="0.25">
      <c r="A1993" t="s">
        <v>616</v>
      </c>
      <c r="B1993" t="s">
        <v>636</v>
      </c>
    </row>
    <row r="1994" spans="1:2" x14ac:dyDescent="0.25">
      <c r="A1994" t="s">
        <v>1045</v>
      </c>
      <c r="B1994" t="s">
        <v>636</v>
      </c>
    </row>
    <row r="1995" spans="1:2" x14ac:dyDescent="0.25">
      <c r="A1995" t="s">
        <v>619</v>
      </c>
      <c r="B1995" t="s">
        <v>636</v>
      </c>
    </row>
    <row r="1996" spans="1:2" x14ac:dyDescent="0.25">
      <c r="A1996" t="s">
        <v>620</v>
      </c>
      <c r="B1996" t="s">
        <v>636</v>
      </c>
    </row>
    <row r="1997" spans="1:2" x14ac:dyDescent="0.25">
      <c r="A1997" t="s">
        <v>622</v>
      </c>
      <c r="B1997" t="s">
        <v>636</v>
      </c>
    </row>
    <row r="1998" spans="1:2" x14ac:dyDescent="0.25">
      <c r="A1998" t="s">
        <v>627</v>
      </c>
      <c r="B1998" t="s">
        <v>636</v>
      </c>
    </row>
    <row r="1999" spans="1:2" x14ac:dyDescent="0.25">
      <c r="A1999" t="s">
        <v>633</v>
      </c>
      <c r="B1999" t="s">
        <v>636</v>
      </c>
    </row>
    <row r="2000" spans="1:2" x14ac:dyDescent="0.25">
      <c r="A2000" t="s">
        <v>601</v>
      </c>
      <c r="B2000" t="s">
        <v>1127</v>
      </c>
    </row>
    <row r="2001" spans="1:2" x14ac:dyDescent="0.25">
      <c r="A2001" t="s">
        <v>915</v>
      </c>
      <c r="B2001" t="s">
        <v>1127</v>
      </c>
    </row>
    <row r="2002" spans="1:2" x14ac:dyDescent="0.25">
      <c r="A2002" t="s">
        <v>631</v>
      </c>
      <c r="B2002" t="s">
        <v>2503</v>
      </c>
    </row>
    <row r="2003" spans="1:2" x14ac:dyDescent="0.25">
      <c r="A2003" t="s">
        <v>1045</v>
      </c>
      <c r="B2003" t="s">
        <v>2070</v>
      </c>
    </row>
    <row r="2004" spans="1:2" x14ac:dyDescent="0.25">
      <c r="A2004" t="s">
        <v>609</v>
      </c>
      <c r="B2004" t="s">
        <v>1559</v>
      </c>
    </row>
    <row r="2005" spans="1:2" x14ac:dyDescent="0.25">
      <c r="A2005" t="s">
        <v>605</v>
      </c>
      <c r="B2005" t="s">
        <v>1354</v>
      </c>
    </row>
    <row r="2006" spans="1:2" x14ac:dyDescent="0.25">
      <c r="A2006" t="s">
        <v>953</v>
      </c>
      <c r="B2006" t="s">
        <v>1786</v>
      </c>
    </row>
    <row r="2007" spans="1:2" x14ac:dyDescent="0.25">
      <c r="A2007" t="s">
        <v>613</v>
      </c>
      <c r="B2007" t="s">
        <v>1786</v>
      </c>
    </row>
    <row r="2008" spans="1:2" x14ac:dyDescent="0.25">
      <c r="A2008" t="s">
        <v>635</v>
      </c>
      <c r="B2008" t="s">
        <v>1786</v>
      </c>
    </row>
    <row r="2009" spans="1:2" x14ac:dyDescent="0.25">
      <c r="A2009" t="s">
        <v>633</v>
      </c>
      <c r="B2009" t="s">
        <v>2596</v>
      </c>
    </row>
    <row r="2010" spans="1:2" x14ac:dyDescent="0.25">
      <c r="A2010" t="s">
        <v>831</v>
      </c>
      <c r="B2010" t="s">
        <v>1739</v>
      </c>
    </row>
    <row r="2011" spans="1:2" x14ac:dyDescent="0.25">
      <c r="A2011" t="s">
        <v>612</v>
      </c>
      <c r="B2011" t="s">
        <v>1718</v>
      </c>
    </row>
    <row r="2012" spans="1:2" x14ac:dyDescent="0.25">
      <c r="A2012" t="s">
        <v>616</v>
      </c>
      <c r="B2012" t="s">
        <v>1922</v>
      </c>
    </row>
    <row r="2013" spans="1:2" x14ac:dyDescent="0.25">
      <c r="A2013" t="s">
        <v>1012</v>
      </c>
      <c r="B2013" t="s">
        <v>2759</v>
      </c>
    </row>
    <row r="2014" spans="1:2" x14ac:dyDescent="0.25">
      <c r="A2014" t="s">
        <v>615</v>
      </c>
      <c r="B2014" t="s">
        <v>1858</v>
      </c>
    </row>
    <row r="2015" spans="1:2" x14ac:dyDescent="0.25">
      <c r="A2015" t="s">
        <v>606</v>
      </c>
      <c r="B2015" t="s">
        <v>1369</v>
      </c>
    </row>
    <row r="2016" spans="1:2" x14ac:dyDescent="0.25">
      <c r="A2016" t="s">
        <v>627</v>
      </c>
      <c r="B2016" t="s">
        <v>1369</v>
      </c>
    </row>
    <row r="2017" spans="1:2" x14ac:dyDescent="0.25">
      <c r="A2017" t="s">
        <v>610</v>
      </c>
      <c r="B2017" t="s">
        <v>1660</v>
      </c>
    </row>
    <row r="2018" spans="1:2" x14ac:dyDescent="0.25">
      <c r="A2018" t="s">
        <v>609</v>
      </c>
      <c r="B2018" t="s">
        <v>1534</v>
      </c>
    </row>
    <row r="2019" spans="1:2" x14ac:dyDescent="0.25">
      <c r="A2019" t="s">
        <v>624</v>
      </c>
      <c r="B2019" t="s">
        <v>1534</v>
      </c>
    </row>
    <row r="2020" spans="1:2" x14ac:dyDescent="0.25">
      <c r="A2020" t="s">
        <v>628</v>
      </c>
      <c r="B2020" t="s">
        <v>1534</v>
      </c>
    </row>
    <row r="2021" spans="1:2" x14ac:dyDescent="0.25">
      <c r="A2021" t="s">
        <v>618</v>
      </c>
      <c r="B2021" t="s">
        <v>2054</v>
      </c>
    </row>
    <row r="2022" spans="1:2" x14ac:dyDescent="0.25">
      <c r="A2022" t="s">
        <v>831</v>
      </c>
      <c r="B2022" t="s">
        <v>1737</v>
      </c>
    </row>
    <row r="2023" spans="1:2" x14ac:dyDescent="0.25">
      <c r="A2023" t="s">
        <v>613</v>
      </c>
      <c r="B2023" t="s">
        <v>1737</v>
      </c>
    </row>
    <row r="2024" spans="1:2" x14ac:dyDescent="0.25">
      <c r="A2024" t="s">
        <v>618</v>
      </c>
      <c r="B2024" t="s">
        <v>1737</v>
      </c>
    </row>
    <row r="2025" spans="1:2" x14ac:dyDescent="0.25">
      <c r="A2025" t="s">
        <v>2808</v>
      </c>
      <c r="B2025" t="s">
        <v>1737</v>
      </c>
    </row>
    <row r="2026" spans="1:2" x14ac:dyDescent="0.25">
      <c r="A2026" t="s">
        <v>604</v>
      </c>
      <c r="B2026" t="s">
        <v>1264</v>
      </c>
    </row>
    <row r="2027" spans="1:2" x14ac:dyDescent="0.25">
      <c r="A2027" t="s">
        <v>629</v>
      </c>
      <c r="B2027" t="s">
        <v>2444</v>
      </c>
    </row>
    <row r="2028" spans="1:2" x14ac:dyDescent="0.25">
      <c r="A2028" t="s">
        <v>605</v>
      </c>
      <c r="B2028" t="s">
        <v>1344</v>
      </c>
    </row>
    <row r="2029" spans="1:2" x14ac:dyDescent="0.25">
      <c r="A2029" t="s">
        <v>618</v>
      </c>
      <c r="B2029" t="s">
        <v>1344</v>
      </c>
    </row>
    <row r="2030" spans="1:2" x14ac:dyDescent="0.25">
      <c r="A2030" t="s">
        <v>623</v>
      </c>
      <c r="B2030" t="s">
        <v>686</v>
      </c>
    </row>
    <row r="2031" spans="1:2" x14ac:dyDescent="0.25">
      <c r="A2031" t="s">
        <v>915</v>
      </c>
      <c r="B2031" t="s">
        <v>2150</v>
      </c>
    </row>
    <row r="2032" spans="1:2" x14ac:dyDescent="0.25">
      <c r="A2032" t="s">
        <v>1045</v>
      </c>
      <c r="B2032" t="s">
        <v>1046</v>
      </c>
    </row>
    <row r="2033" spans="1:2" x14ac:dyDescent="0.25">
      <c r="A2033" t="s">
        <v>617</v>
      </c>
      <c r="B2033" t="s">
        <v>2798</v>
      </c>
    </row>
    <row r="2034" spans="1:2" x14ac:dyDescent="0.25">
      <c r="A2034" t="s">
        <v>623</v>
      </c>
      <c r="B2034" t="s">
        <v>2280</v>
      </c>
    </row>
    <row r="2035" spans="1:2" x14ac:dyDescent="0.25">
      <c r="A2035" t="s">
        <v>630</v>
      </c>
      <c r="B2035" t="s">
        <v>196</v>
      </c>
    </row>
    <row r="2036" spans="1:2" x14ac:dyDescent="0.25">
      <c r="A2036" t="s">
        <v>623</v>
      </c>
      <c r="B2036" t="s">
        <v>724</v>
      </c>
    </row>
    <row r="2037" spans="1:2" x14ac:dyDescent="0.25">
      <c r="A2037" t="s">
        <v>609</v>
      </c>
      <c r="B2037" t="s">
        <v>1527</v>
      </c>
    </row>
    <row r="2038" spans="1:2" x14ac:dyDescent="0.25">
      <c r="A2038" t="s">
        <v>628</v>
      </c>
      <c r="B2038" t="s">
        <v>2404</v>
      </c>
    </row>
    <row r="2039" spans="1:2" x14ac:dyDescent="0.25">
      <c r="A2039" t="s">
        <v>915</v>
      </c>
      <c r="B2039" t="s">
        <v>2149</v>
      </c>
    </row>
    <row r="2040" spans="1:2" x14ac:dyDescent="0.25">
      <c r="A2040" t="s">
        <v>604</v>
      </c>
      <c r="B2040" t="s">
        <v>1260</v>
      </c>
    </row>
    <row r="2041" spans="1:2" x14ac:dyDescent="0.25">
      <c r="A2041" t="s">
        <v>618</v>
      </c>
      <c r="B2041" t="s">
        <v>1260</v>
      </c>
    </row>
    <row r="2042" spans="1:2" x14ac:dyDescent="0.25">
      <c r="A2042" t="s">
        <v>606</v>
      </c>
      <c r="B2042" t="s">
        <v>2741</v>
      </c>
    </row>
    <row r="2043" spans="1:2" x14ac:dyDescent="0.25">
      <c r="A2043" t="s">
        <v>2808</v>
      </c>
      <c r="B2043" t="s">
        <v>637</v>
      </c>
    </row>
    <row r="2044" spans="1:2" x14ac:dyDescent="0.25">
      <c r="A2044" t="s">
        <v>603</v>
      </c>
      <c r="B2044" t="s">
        <v>1004</v>
      </c>
    </row>
    <row r="2045" spans="1:2" x14ac:dyDescent="0.25">
      <c r="A2045" t="s">
        <v>607</v>
      </c>
      <c r="B2045" t="s">
        <v>1004</v>
      </c>
    </row>
    <row r="2046" spans="1:2" x14ac:dyDescent="0.25">
      <c r="A2046" t="s">
        <v>1045</v>
      </c>
      <c r="B2046" t="s">
        <v>1004</v>
      </c>
    </row>
    <row r="2047" spans="1:2" x14ac:dyDescent="0.25">
      <c r="A2047" t="s">
        <v>630</v>
      </c>
      <c r="B2047" t="s">
        <v>2455</v>
      </c>
    </row>
    <row r="2048" spans="1:2" x14ac:dyDescent="0.25">
      <c r="A2048" t="s">
        <v>606</v>
      </c>
      <c r="B2048" t="s">
        <v>2744</v>
      </c>
    </row>
    <row r="2049" spans="1:2" x14ac:dyDescent="0.25">
      <c r="A2049" t="s">
        <v>615</v>
      </c>
      <c r="B2049" t="s">
        <v>1871</v>
      </c>
    </row>
    <row r="2050" spans="1:2" x14ac:dyDescent="0.25">
      <c r="A2050" t="s">
        <v>603</v>
      </c>
      <c r="B2050" t="s">
        <v>1244</v>
      </c>
    </row>
    <row r="2051" spans="1:2" x14ac:dyDescent="0.25">
      <c r="A2051" t="s">
        <v>617</v>
      </c>
      <c r="B2051" t="s">
        <v>2020</v>
      </c>
    </row>
    <row r="2052" spans="1:2" x14ac:dyDescent="0.25">
      <c r="A2052" t="s">
        <v>607</v>
      </c>
      <c r="B2052" t="s">
        <v>1415</v>
      </c>
    </row>
    <row r="2053" spans="1:2" x14ac:dyDescent="0.25">
      <c r="A2053" t="s">
        <v>627</v>
      </c>
      <c r="B2053" t="s">
        <v>2397</v>
      </c>
    </row>
    <row r="2054" spans="1:2" x14ac:dyDescent="0.25">
      <c r="A2054" t="s">
        <v>627</v>
      </c>
      <c r="B2054" t="s">
        <v>2382</v>
      </c>
    </row>
    <row r="2055" spans="1:2" x14ac:dyDescent="0.25">
      <c r="A2055" t="s">
        <v>632</v>
      </c>
      <c r="B2055" t="s">
        <v>2535</v>
      </c>
    </row>
    <row r="2056" spans="1:2" x14ac:dyDescent="0.25">
      <c r="A2056" t="s">
        <v>831</v>
      </c>
      <c r="B2056" t="s">
        <v>1767</v>
      </c>
    </row>
    <row r="2057" spans="1:2" x14ac:dyDescent="0.25">
      <c r="A2057" t="s">
        <v>630</v>
      </c>
      <c r="B2057" t="s">
        <v>2494</v>
      </c>
    </row>
    <row r="2058" spans="1:2" x14ac:dyDescent="0.25">
      <c r="A2058" t="s">
        <v>632</v>
      </c>
      <c r="B2058" t="s">
        <v>2553</v>
      </c>
    </row>
    <row r="2059" spans="1:2" x14ac:dyDescent="0.25">
      <c r="A2059" t="s">
        <v>616</v>
      </c>
      <c r="B2059" t="s">
        <v>1935</v>
      </c>
    </row>
    <row r="2060" spans="1:2" x14ac:dyDescent="0.25">
      <c r="A2060" t="s">
        <v>628</v>
      </c>
      <c r="B2060" t="s">
        <v>1935</v>
      </c>
    </row>
    <row r="2061" spans="1:2" x14ac:dyDescent="0.25">
      <c r="A2061" t="s">
        <v>617</v>
      </c>
      <c r="B2061" t="s">
        <v>2015</v>
      </c>
    </row>
    <row r="2062" spans="1:2" x14ac:dyDescent="0.25">
      <c r="A2062" t="s">
        <v>632</v>
      </c>
      <c r="B2062" t="s">
        <v>441</v>
      </c>
    </row>
    <row r="2063" spans="1:2" x14ac:dyDescent="0.25">
      <c r="A2063" t="s">
        <v>622</v>
      </c>
      <c r="B2063" t="s">
        <v>2220</v>
      </c>
    </row>
    <row r="2064" spans="1:2" x14ac:dyDescent="0.25">
      <c r="A2064" t="s">
        <v>605</v>
      </c>
      <c r="B2064" t="s">
        <v>1348</v>
      </c>
    </row>
    <row r="2065" spans="1:2" x14ac:dyDescent="0.25">
      <c r="A2065" t="s">
        <v>635</v>
      </c>
      <c r="B2065" t="s">
        <v>1348</v>
      </c>
    </row>
    <row r="2066" spans="1:2" x14ac:dyDescent="0.25">
      <c r="A2066" t="s">
        <v>633</v>
      </c>
      <c r="B2066" t="s">
        <v>1348</v>
      </c>
    </row>
    <row r="2067" spans="1:2" x14ac:dyDescent="0.25">
      <c r="A2067" t="s">
        <v>610</v>
      </c>
      <c r="B2067" t="s">
        <v>1638</v>
      </c>
    </row>
    <row r="2068" spans="1:2" x14ac:dyDescent="0.25">
      <c r="A2068" t="s">
        <v>628</v>
      </c>
      <c r="B2068" t="s">
        <v>2406</v>
      </c>
    </row>
    <row r="2069" spans="1:2" x14ac:dyDescent="0.25">
      <c r="A2069" t="s">
        <v>603</v>
      </c>
      <c r="B2069" t="s">
        <v>1236</v>
      </c>
    </row>
    <row r="2070" spans="1:2" x14ac:dyDescent="0.25">
      <c r="A2070" t="s">
        <v>603</v>
      </c>
      <c r="B2070" t="s">
        <v>1238</v>
      </c>
    </row>
    <row r="2071" spans="1:2" x14ac:dyDescent="0.25">
      <c r="A2071" t="s">
        <v>633</v>
      </c>
      <c r="B2071" t="s">
        <v>2570</v>
      </c>
    </row>
    <row r="2072" spans="1:2" x14ac:dyDescent="0.25">
      <c r="A2072" t="s">
        <v>623</v>
      </c>
      <c r="B2072" t="s">
        <v>2245</v>
      </c>
    </row>
    <row r="2073" spans="1:2" x14ac:dyDescent="0.25">
      <c r="A2073" t="s">
        <v>953</v>
      </c>
      <c r="B2073" t="s">
        <v>964</v>
      </c>
    </row>
    <row r="2074" spans="1:2" x14ac:dyDescent="0.25">
      <c r="A2074" t="s">
        <v>606</v>
      </c>
      <c r="B2074" t="s">
        <v>1361</v>
      </c>
    </row>
    <row r="2075" spans="1:2" x14ac:dyDescent="0.25">
      <c r="A2075" t="s">
        <v>610</v>
      </c>
      <c r="B2075" t="s">
        <v>1361</v>
      </c>
    </row>
    <row r="2076" spans="1:2" x14ac:dyDescent="0.25">
      <c r="A2076" t="s">
        <v>615</v>
      </c>
      <c r="B2076" t="s">
        <v>1361</v>
      </c>
    </row>
    <row r="2077" spans="1:2" x14ac:dyDescent="0.25">
      <c r="A2077" t="s">
        <v>624</v>
      </c>
      <c r="B2077" t="s">
        <v>1361</v>
      </c>
    </row>
    <row r="2078" spans="1:2" x14ac:dyDescent="0.25">
      <c r="A2078" t="s">
        <v>610</v>
      </c>
      <c r="B2078" t="s">
        <v>1631</v>
      </c>
    </row>
    <row r="2079" spans="1:2" x14ac:dyDescent="0.25">
      <c r="A2079" t="s">
        <v>619</v>
      </c>
      <c r="B2079" t="s">
        <v>1631</v>
      </c>
    </row>
    <row r="2080" spans="1:2" x14ac:dyDescent="0.25">
      <c r="A2080" t="s">
        <v>831</v>
      </c>
      <c r="B2080" t="s">
        <v>1741</v>
      </c>
    </row>
    <row r="2081" spans="1:2" x14ac:dyDescent="0.25">
      <c r="A2081" t="s">
        <v>619</v>
      </c>
      <c r="B2081" t="s">
        <v>2087</v>
      </c>
    </row>
    <row r="2082" spans="1:2" x14ac:dyDescent="0.25">
      <c r="A2082" t="s">
        <v>609</v>
      </c>
      <c r="B2082" t="s">
        <v>1587</v>
      </c>
    </row>
    <row r="2083" spans="1:2" x14ac:dyDescent="0.25">
      <c r="A2083" t="s">
        <v>608</v>
      </c>
      <c r="B2083" t="s">
        <v>50</v>
      </c>
    </row>
    <row r="2084" spans="1:2" x14ac:dyDescent="0.25">
      <c r="A2084" t="s">
        <v>624</v>
      </c>
      <c r="B2084" t="s">
        <v>50</v>
      </c>
    </row>
    <row r="2085" spans="1:2" x14ac:dyDescent="0.25">
      <c r="A2085" t="s">
        <v>608</v>
      </c>
      <c r="B2085" t="s">
        <v>1513</v>
      </c>
    </row>
    <row r="2086" spans="1:2" x14ac:dyDescent="0.25">
      <c r="A2086" t="s">
        <v>619</v>
      </c>
      <c r="B2086" t="s">
        <v>2085</v>
      </c>
    </row>
    <row r="2087" spans="1:2" x14ac:dyDescent="0.25">
      <c r="A2087" t="s">
        <v>633</v>
      </c>
      <c r="B2087" t="s">
        <v>2559</v>
      </c>
    </row>
    <row r="2088" spans="1:2" x14ac:dyDescent="0.25">
      <c r="A2088" t="s">
        <v>623</v>
      </c>
      <c r="B2088" t="s">
        <v>955</v>
      </c>
    </row>
    <row r="2089" spans="1:2" x14ac:dyDescent="0.25">
      <c r="A2089" t="s">
        <v>624</v>
      </c>
      <c r="B2089" t="s">
        <v>955</v>
      </c>
    </row>
    <row r="2090" spans="1:2" x14ac:dyDescent="0.25">
      <c r="A2090" t="s">
        <v>627</v>
      </c>
      <c r="B2090" t="s">
        <v>955</v>
      </c>
    </row>
    <row r="2091" spans="1:2" x14ac:dyDescent="0.25">
      <c r="A2091" t="s">
        <v>608</v>
      </c>
      <c r="B2091" t="s">
        <v>486</v>
      </c>
    </row>
    <row r="2092" spans="1:2" x14ac:dyDescent="0.25">
      <c r="A2092" t="s">
        <v>1045</v>
      </c>
      <c r="B2092" t="s">
        <v>2076</v>
      </c>
    </row>
    <row r="2093" spans="1:2" x14ac:dyDescent="0.25">
      <c r="A2093" t="s">
        <v>630</v>
      </c>
      <c r="B2093" t="s">
        <v>2492</v>
      </c>
    </row>
    <row r="2094" spans="1:2" x14ac:dyDescent="0.25">
      <c r="A2094" t="s">
        <v>609</v>
      </c>
      <c r="B2094" t="s">
        <v>1579</v>
      </c>
    </row>
    <row r="2095" spans="1:2" x14ac:dyDescent="0.25">
      <c r="A2095" t="s">
        <v>635</v>
      </c>
      <c r="B2095" t="s">
        <v>1973</v>
      </c>
    </row>
    <row r="2096" spans="1:2" x14ac:dyDescent="0.25">
      <c r="A2096" t="s">
        <v>610</v>
      </c>
      <c r="B2096" t="s">
        <v>1641</v>
      </c>
    </row>
    <row r="2097" spans="1:2" x14ac:dyDescent="0.25">
      <c r="A2097" t="s">
        <v>628</v>
      </c>
      <c r="B2097" t="s">
        <v>2430</v>
      </c>
    </row>
    <row r="2098" spans="1:2" x14ac:dyDescent="0.25">
      <c r="A2098" t="s">
        <v>610</v>
      </c>
      <c r="B2098" t="s">
        <v>1636</v>
      </c>
    </row>
    <row r="2099" spans="1:2" x14ac:dyDescent="0.25">
      <c r="A2099" t="s">
        <v>602</v>
      </c>
      <c r="B2099" t="s">
        <v>775</v>
      </c>
    </row>
    <row r="2100" spans="1:2" x14ac:dyDescent="0.25">
      <c r="A2100" t="s">
        <v>607</v>
      </c>
      <c r="B2100" t="s">
        <v>1414</v>
      </c>
    </row>
    <row r="2101" spans="1:2" x14ac:dyDescent="0.25">
      <c r="A2101" t="s">
        <v>831</v>
      </c>
      <c r="B2101" t="s">
        <v>1757</v>
      </c>
    </row>
    <row r="2102" spans="1:2" x14ac:dyDescent="0.25">
      <c r="A2102" t="s">
        <v>631</v>
      </c>
      <c r="B2102" t="s">
        <v>2516</v>
      </c>
    </row>
    <row r="2103" spans="1:2" x14ac:dyDescent="0.25">
      <c r="A2103" t="s">
        <v>631</v>
      </c>
      <c r="B2103" t="s">
        <v>2513</v>
      </c>
    </row>
    <row r="2104" spans="1:2" x14ac:dyDescent="0.25">
      <c r="A2104" t="s">
        <v>604</v>
      </c>
      <c r="B2104" t="s">
        <v>1296</v>
      </c>
    </row>
    <row r="2105" spans="1:2" x14ac:dyDescent="0.25">
      <c r="A2105" t="s">
        <v>605</v>
      </c>
      <c r="B2105" t="s">
        <v>1296</v>
      </c>
    </row>
    <row r="2106" spans="1:2" x14ac:dyDescent="0.25">
      <c r="A2106" t="s">
        <v>613</v>
      </c>
      <c r="B2106" t="s">
        <v>1296</v>
      </c>
    </row>
    <row r="2107" spans="1:2" x14ac:dyDescent="0.25">
      <c r="A2107" t="s">
        <v>635</v>
      </c>
      <c r="B2107" t="s">
        <v>1296</v>
      </c>
    </row>
    <row r="2108" spans="1:2" x14ac:dyDescent="0.25">
      <c r="A2108" t="s">
        <v>618</v>
      </c>
      <c r="B2108" t="s">
        <v>1296</v>
      </c>
    </row>
    <row r="2109" spans="1:2" x14ac:dyDescent="0.25">
      <c r="A2109" t="s">
        <v>915</v>
      </c>
      <c r="B2109" t="s">
        <v>1296</v>
      </c>
    </row>
    <row r="2110" spans="1:2" x14ac:dyDescent="0.25">
      <c r="A2110" t="s">
        <v>1012</v>
      </c>
      <c r="B2110" t="s">
        <v>2618</v>
      </c>
    </row>
    <row r="2111" spans="1:2" x14ac:dyDescent="0.25">
      <c r="A2111" t="s">
        <v>607</v>
      </c>
      <c r="B2111" t="s">
        <v>2720</v>
      </c>
    </row>
    <row r="2112" spans="1:2" x14ac:dyDescent="0.25">
      <c r="A2112" t="s">
        <v>2808</v>
      </c>
      <c r="B2112" t="s">
        <v>2312</v>
      </c>
    </row>
    <row r="2113" spans="1:2" x14ac:dyDescent="0.25">
      <c r="A2113" t="s">
        <v>635</v>
      </c>
      <c r="B2113" t="s">
        <v>1953</v>
      </c>
    </row>
    <row r="2114" spans="1:2" x14ac:dyDescent="0.25">
      <c r="A2114" t="s">
        <v>605</v>
      </c>
      <c r="B2114" t="s">
        <v>1323</v>
      </c>
    </row>
    <row r="2115" spans="1:2" x14ac:dyDescent="0.25">
      <c r="A2115" t="s">
        <v>604</v>
      </c>
      <c r="B2115" t="s">
        <v>1292</v>
      </c>
    </row>
    <row r="2116" spans="1:2" x14ac:dyDescent="0.25">
      <c r="A2116" t="s">
        <v>609</v>
      </c>
      <c r="B2116" t="s">
        <v>1583</v>
      </c>
    </row>
    <row r="2117" spans="1:2" x14ac:dyDescent="0.25">
      <c r="A2117" t="s">
        <v>607</v>
      </c>
      <c r="B2117" t="s">
        <v>2601</v>
      </c>
    </row>
    <row r="2118" spans="1:2" x14ac:dyDescent="0.25">
      <c r="A2118" t="s">
        <v>601</v>
      </c>
      <c r="B2118" t="s">
        <v>1372</v>
      </c>
    </row>
    <row r="2119" spans="1:2" x14ac:dyDescent="0.25">
      <c r="A2119" t="s">
        <v>606</v>
      </c>
      <c r="B2119" t="s">
        <v>1372</v>
      </c>
    </row>
    <row r="2120" spans="1:2" x14ac:dyDescent="0.25">
      <c r="A2120" t="s">
        <v>611</v>
      </c>
      <c r="B2120" t="s">
        <v>1372</v>
      </c>
    </row>
    <row r="2121" spans="1:2" x14ac:dyDescent="0.25">
      <c r="A2121" t="s">
        <v>612</v>
      </c>
      <c r="B2121" t="s">
        <v>1372</v>
      </c>
    </row>
    <row r="2122" spans="1:2" x14ac:dyDescent="0.25">
      <c r="A2122" t="s">
        <v>616</v>
      </c>
      <c r="B2122" t="s">
        <v>1372</v>
      </c>
    </row>
    <row r="2123" spans="1:2" x14ac:dyDescent="0.25">
      <c r="A2123" t="s">
        <v>631</v>
      </c>
      <c r="B2123" t="s">
        <v>1372</v>
      </c>
    </row>
    <row r="2124" spans="1:2" x14ac:dyDescent="0.25">
      <c r="A2124" t="s">
        <v>619</v>
      </c>
      <c r="B2124" t="s">
        <v>2136</v>
      </c>
    </row>
    <row r="2125" spans="1:2" x14ac:dyDescent="0.25">
      <c r="A2125" t="s">
        <v>1045</v>
      </c>
      <c r="B2125" t="s">
        <v>2081</v>
      </c>
    </row>
    <row r="2126" spans="1:2" x14ac:dyDescent="0.25">
      <c r="A2126" t="s">
        <v>616</v>
      </c>
      <c r="B2126" t="s">
        <v>1913</v>
      </c>
    </row>
    <row r="2127" spans="1:2" x14ac:dyDescent="0.25">
      <c r="A2127" t="s">
        <v>613</v>
      </c>
      <c r="B2127" t="s">
        <v>1791</v>
      </c>
    </row>
    <row r="2128" spans="1:2" x14ac:dyDescent="0.25">
      <c r="A2128" t="s">
        <v>831</v>
      </c>
      <c r="B2128" t="s">
        <v>1732</v>
      </c>
    </row>
    <row r="2129" spans="1:2" x14ac:dyDescent="0.25">
      <c r="A2129" t="s">
        <v>615</v>
      </c>
      <c r="B2129" t="s">
        <v>1732</v>
      </c>
    </row>
    <row r="2130" spans="1:2" x14ac:dyDescent="0.25">
      <c r="A2130" t="s">
        <v>615</v>
      </c>
      <c r="B2130" t="s">
        <v>2752</v>
      </c>
    </row>
    <row r="2131" spans="1:2" x14ac:dyDescent="0.25">
      <c r="A2131" t="s">
        <v>612</v>
      </c>
      <c r="B2131" t="s">
        <v>1728</v>
      </c>
    </row>
    <row r="2132" spans="1:2" x14ac:dyDescent="0.25">
      <c r="A2132" t="s">
        <v>618</v>
      </c>
      <c r="B2132" t="s">
        <v>2053</v>
      </c>
    </row>
    <row r="2133" spans="1:2" x14ac:dyDescent="0.25">
      <c r="A2133" t="s">
        <v>609</v>
      </c>
      <c r="B2133" t="s">
        <v>1593</v>
      </c>
    </row>
    <row r="2134" spans="1:2" x14ac:dyDescent="0.25">
      <c r="A2134" t="s">
        <v>624</v>
      </c>
      <c r="B2134" t="s">
        <v>2338</v>
      </c>
    </row>
    <row r="2135" spans="1:2" x14ac:dyDescent="0.25">
      <c r="A2135" t="s">
        <v>630</v>
      </c>
      <c r="B2135" t="s">
        <v>2463</v>
      </c>
    </row>
    <row r="2136" spans="1:2" x14ac:dyDescent="0.25">
      <c r="A2136" t="s">
        <v>831</v>
      </c>
      <c r="B2136" t="s">
        <v>1751</v>
      </c>
    </row>
    <row r="2137" spans="1:2" x14ac:dyDescent="0.25">
      <c r="A2137" t="s">
        <v>611</v>
      </c>
      <c r="B2137" t="s">
        <v>753</v>
      </c>
    </row>
    <row r="2138" spans="1:2" x14ac:dyDescent="0.25">
      <c r="A2138" t="s">
        <v>606</v>
      </c>
      <c r="B2138" t="s">
        <v>796</v>
      </c>
    </row>
    <row r="2139" spans="1:2" x14ac:dyDescent="0.25">
      <c r="A2139" t="s">
        <v>604</v>
      </c>
      <c r="B2139" t="s">
        <v>976</v>
      </c>
    </row>
    <row r="2140" spans="1:2" x14ac:dyDescent="0.25">
      <c r="A2140" t="s">
        <v>2808</v>
      </c>
      <c r="B2140" t="s">
        <v>976</v>
      </c>
    </row>
    <row r="2141" spans="1:2" x14ac:dyDescent="0.25">
      <c r="A2141" t="s">
        <v>632</v>
      </c>
      <c r="B2141" t="s">
        <v>2533</v>
      </c>
    </row>
    <row r="2142" spans="1:2" x14ac:dyDescent="0.25">
      <c r="A2142" t="s">
        <v>831</v>
      </c>
      <c r="B2142" t="s">
        <v>960</v>
      </c>
    </row>
    <row r="2143" spans="1:2" x14ac:dyDescent="0.25">
      <c r="A2143" t="s">
        <v>623</v>
      </c>
      <c r="B2143" t="s">
        <v>960</v>
      </c>
    </row>
    <row r="2144" spans="1:2" x14ac:dyDescent="0.25">
      <c r="A2144" t="s">
        <v>624</v>
      </c>
      <c r="B2144" t="s">
        <v>960</v>
      </c>
    </row>
    <row r="2145" spans="1:2" x14ac:dyDescent="0.25">
      <c r="A2145" t="s">
        <v>609</v>
      </c>
      <c r="B2145" t="s">
        <v>1588</v>
      </c>
    </row>
    <row r="2146" spans="1:2" x14ac:dyDescent="0.25">
      <c r="A2146" t="s">
        <v>633</v>
      </c>
      <c r="B2146" t="s">
        <v>2579</v>
      </c>
    </row>
    <row r="2147" spans="1:2" x14ac:dyDescent="0.25">
      <c r="A2147" t="s">
        <v>617</v>
      </c>
      <c r="B2147" t="s">
        <v>2012</v>
      </c>
    </row>
    <row r="2148" spans="1:2" x14ac:dyDescent="0.25">
      <c r="A2148" t="s">
        <v>635</v>
      </c>
      <c r="B2148" t="s">
        <v>1965</v>
      </c>
    </row>
    <row r="2149" spans="1:2" x14ac:dyDescent="0.25">
      <c r="A2149" t="s">
        <v>614</v>
      </c>
      <c r="B2149" t="s">
        <v>1038</v>
      </c>
    </row>
    <row r="2150" spans="1:2" x14ac:dyDescent="0.25">
      <c r="A2150" t="s">
        <v>617</v>
      </c>
      <c r="B2150" t="s">
        <v>2023</v>
      </c>
    </row>
    <row r="2151" spans="1:2" x14ac:dyDescent="0.25">
      <c r="A2151" t="s">
        <v>619</v>
      </c>
      <c r="B2151" t="s">
        <v>2099</v>
      </c>
    </row>
    <row r="2152" spans="1:2" x14ac:dyDescent="0.25">
      <c r="A2152" t="s">
        <v>630</v>
      </c>
      <c r="B2152" t="s">
        <v>2099</v>
      </c>
    </row>
    <row r="2153" spans="1:2" x14ac:dyDescent="0.25">
      <c r="A2153" t="s">
        <v>623</v>
      </c>
      <c r="B2153" t="s">
        <v>2282</v>
      </c>
    </row>
    <row r="2154" spans="1:2" x14ac:dyDescent="0.25">
      <c r="A2154" t="s">
        <v>1012</v>
      </c>
      <c r="B2154" t="s">
        <v>1616</v>
      </c>
    </row>
    <row r="2155" spans="1:2" x14ac:dyDescent="0.25">
      <c r="A2155" t="s">
        <v>613</v>
      </c>
      <c r="B2155" t="s">
        <v>1782</v>
      </c>
    </row>
    <row r="2156" spans="1:2" x14ac:dyDescent="0.25">
      <c r="A2156" t="s">
        <v>605</v>
      </c>
      <c r="B2156" t="s">
        <v>1335</v>
      </c>
    </row>
    <row r="2157" spans="1:2" x14ac:dyDescent="0.25">
      <c r="A2157" t="s">
        <v>606</v>
      </c>
      <c r="B2157" t="s">
        <v>929</v>
      </c>
    </row>
    <row r="2158" spans="1:2" x14ac:dyDescent="0.25">
      <c r="A2158" t="s">
        <v>617</v>
      </c>
      <c r="B2158" t="s">
        <v>929</v>
      </c>
    </row>
    <row r="2159" spans="1:2" x14ac:dyDescent="0.25">
      <c r="A2159" t="s">
        <v>615</v>
      </c>
      <c r="B2159" t="s">
        <v>1860</v>
      </c>
    </row>
    <row r="2160" spans="1:2" x14ac:dyDescent="0.25">
      <c r="A2160" t="s">
        <v>617</v>
      </c>
      <c r="B2160" t="s">
        <v>1860</v>
      </c>
    </row>
    <row r="2161" spans="1:2" x14ac:dyDescent="0.25">
      <c r="A2161" t="s">
        <v>629</v>
      </c>
      <c r="B2161" t="s">
        <v>2442</v>
      </c>
    </row>
    <row r="2162" spans="1:2" x14ac:dyDescent="0.25">
      <c r="A2162" t="s">
        <v>614</v>
      </c>
      <c r="B2162" t="s">
        <v>2609</v>
      </c>
    </row>
    <row r="2163" spans="1:2" x14ac:dyDescent="0.25">
      <c r="A2163" t="s">
        <v>608</v>
      </c>
      <c r="B2163" t="s">
        <v>1499</v>
      </c>
    </row>
    <row r="2164" spans="1:2" x14ac:dyDescent="0.25">
      <c r="A2164" t="s">
        <v>627</v>
      </c>
      <c r="B2164" t="s">
        <v>2358</v>
      </c>
    </row>
    <row r="2165" spans="1:2" x14ac:dyDescent="0.25">
      <c r="A2165" t="s">
        <v>631</v>
      </c>
      <c r="B2165" t="s">
        <v>143</v>
      </c>
    </row>
    <row r="2166" spans="1:2" x14ac:dyDescent="0.25">
      <c r="A2166" t="s">
        <v>616</v>
      </c>
      <c r="B2166" t="s">
        <v>1907</v>
      </c>
    </row>
    <row r="2167" spans="1:2" x14ac:dyDescent="0.25">
      <c r="A2167" t="s">
        <v>611</v>
      </c>
      <c r="B2167" t="s">
        <v>1083</v>
      </c>
    </row>
    <row r="2168" spans="1:2" x14ac:dyDescent="0.25">
      <c r="A2168" t="s">
        <v>915</v>
      </c>
      <c r="B2168" t="s">
        <v>916</v>
      </c>
    </row>
    <row r="2169" spans="1:2" x14ac:dyDescent="0.25">
      <c r="A2169" t="s">
        <v>630</v>
      </c>
      <c r="B2169" t="s">
        <v>2459</v>
      </c>
    </row>
    <row r="2170" spans="1:2" x14ac:dyDescent="0.25">
      <c r="A2170" t="s">
        <v>609</v>
      </c>
      <c r="B2170" t="s">
        <v>1536</v>
      </c>
    </row>
    <row r="2171" spans="1:2" x14ac:dyDescent="0.25">
      <c r="A2171" t="s">
        <v>609</v>
      </c>
      <c r="B2171" t="s">
        <v>1540</v>
      </c>
    </row>
    <row r="2172" spans="1:2" x14ac:dyDescent="0.25">
      <c r="A2172" t="s">
        <v>609</v>
      </c>
      <c r="B2172" t="s">
        <v>1542</v>
      </c>
    </row>
    <row r="2173" spans="1:2" x14ac:dyDescent="0.25">
      <c r="A2173" t="s">
        <v>609</v>
      </c>
      <c r="B2173" t="s">
        <v>1541</v>
      </c>
    </row>
    <row r="2174" spans="1:2" x14ac:dyDescent="0.25">
      <c r="A2174" t="s">
        <v>609</v>
      </c>
      <c r="B2174" t="s">
        <v>1539</v>
      </c>
    </row>
    <row r="2175" spans="1:2" x14ac:dyDescent="0.25">
      <c r="A2175" t="s">
        <v>620</v>
      </c>
      <c r="B2175" t="s">
        <v>2183</v>
      </c>
    </row>
    <row r="2176" spans="1:2" x14ac:dyDescent="0.25">
      <c r="A2176" t="s">
        <v>622</v>
      </c>
      <c r="B2176" t="s">
        <v>2201</v>
      </c>
    </row>
    <row r="2177" spans="1:2" x14ac:dyDescent="0.25">
      <c r="A2177" t="s">
        <v>614</v>
      </c>
      <c r="B2177" t="s">
        <v>1821</v>
      </c>
    </row>
    <row r="2178" spans="1:2" x14ac:dyDescent="0.25">
      <c r="A2178" t="s">
        <v>635</v>
      </c>
      <c r="B2178" t="s">
        <v>1821</v>
      </c>
    </row>
    <row r="2179" spans="1:2" x14ac:dyDescent="0.25">
      <c r="A2179" t="s">
        <v>603</v>
      </c>
      <c r="B2179" t="s">
        <v>1224</v>
      </c>
    </row>
    <row r="2180" spans="1:2" x14ac:dyDescent="0.25">
      <c r="A2180" t="s">
        <v>605</v>
      </c>
      <c r="B2180" t="s">
        <v>1224</v>
      </c>
    </row>
    <row r="2181" spans="1:2" x14ac:dyDescent="0.25">
      <c r="A2181" t="s">
        <v>953</v>
      </c>
      <c r="B2181" t="s">
        <v>979</v>
      </c>
    </row>
    <row r="2182" spans="1:2" x14ac:dyDescent="0.25">
      <c r="A2182" t="s">
        <v>953</v>
      </c>
      <c r="B2182" t="s">
        <v>2835</v>
      </c>
    </row>
    <row r="2183" spans="1:2" x14ac:dyDescent="0.25">
      <c r="A2183" t="s">
        <v>616</v>
      </c>
      <c r="B2183" t="s">
        <v>1931</v>
      </c>
    </row>
    <row r="2184" spans="1:2" x14ac:dyDescent="0.25">
      <c r="A2184" t="s">
        <v>604</v>
      </c>
      <c r="B2184" t="s">
        <v>1309</v>
      </c>
    </row>
    <row r="2185" spans="1:2" x14ac:dyDescent="0.25">
      <c r="A2185" t="s">
        <v>603</v>
      </c>
      <c r="B2185" t="s">
        <v>122</v>
      </c>
    </row>
    <row r="2186" spans="1:2" x14ac:dyDescent="0.25">
      <c r="A2186" t="s">
        <v>604</v>
      </c>
      <c r="B2186" t="s">
        <v>122</v>
      </c>
    </row>
    <row r="2187" spans="1:2" x14ac:dyDescent="0.25">
      <c r="A2187" t="s">
        <v>606</v>
      </c>
      <c r="B2187" t="s">
        <v>122</v>
      </c>
    </row>
    <row r="2188" spans="1:2" x14ac:dyDescent="0.25">
      <c r="A2188" t="s">
        <v>953</v>
      </c>
      <c r="B2188" t="s">
        <v>122</v>
      </c>
    </row>
    <row r="2189" spans="1:2" x14ac:dyDescent="0.25">
      <c r="A2189" t="s">
        <v>610</v>
      </c>
      <c r="B2189" t="s">
        <v>122</v>
      </c>
    </row>
    <row r="2190" spans="1:2" x14ac:dyDescent="0.25">
      <c r="A2190" t="s">
        <v>611</v>
      </c>
      <c r="B2190" t="s">
        <v>122</v>
      </c>
    </row>
    <row r="2191" spans="1:2" x14ac:dyDescent="0.25">
      <c r="A2191" t="s">
        <v>612</v>
      </c>
      <c r="B2191" t="s">
        <v>122</v>
      </c>
    </row>
    <row r="2192" spans="1:2" x14ac:dyDescent="0.25">
      <c r="A2192" t="s">
        <v>831</v>
      </c>
      <c r="B2192" t="s">
        <v>122</v>
      </c>
    </row>
    <row r="2193" spans="1:2" x14ac:dyDescent="0.25">
      <c r="A2193" t="s">
        <v>615</v>
      </c>
      <c r="B2193" t="s">
        <v>122</v>
      </c>
    </row>
    <row r="2194" spans="1:2" x14ac:dyDescent="0.25">
      <c r="A2194" t="s">
        <v>616</v>
      </c>
      <c r="B2194" t="s">
        <v>122</v>
      </c>
    </row>
    <row r="2195" spans="1:2" x14ac:dyDescent="0.25">
      <c r="A2195" t="s">
        <v>1012</v>
      </c>
      <c r="B2195" t="s">
        <v>122</v>
      </c>
    </row>
    <row r="2196" spans="1:2" x14ac:dyDescent="0.25">
      <c r="A2196" t="s">
        <v>635</v>
      </c>
      <c r="B2196" t="s">
        <v>122</v>
      </c>
    </row>
    <row r="2197" spans="1:2" x14ac:dyDescent="0.25">
      <c r="A2197" t="s">
        <v>617</v>
      </c>
      <c r="B2197" t="s">
        <v>122</v>
      </c>
    </row>
    <row r="2198" spans="1:2" x14ac:dyDescent="0.25">
      <c r="A2198" t="s">
        <v>915</v>
      </c>
      <c r="B2198" t="s">
        <v>122</v>
      </c>
    </row>
    <row r="2199" spans="1:2" x14ac:dyDescent="0.25">
      <c r="A2199" t="s">
        <v>620</v>
      </c>
      <c r="B2199" t="s">
        <v>122</v>
      </c>
    </row>
    <row r="2200" spans="1:2" x14ac:dyDescent="0.25">
      <c r="A2200" t="s">
        <v>624</v>
      </c>
      <c r="B2200" t="s">
        <v>122</v>
      </c>
    </row>
    <row r="2201" spans="1:2" x14ac:dyDescent="0.25">
      <c r="A2201" t="s">
        <v>627</v>
      </c>
      <c r="B2201" t="s">
        <v>122</v>
      </c>
    </row>
    <row r="2202" spans="1:2" x14ac:dyDescent="0.25">
      <c r="A2202" t="s">
        <v>628</v>
      </c>
      <c r="B2202" t="s">
        <v>122</v>
      </c>
    </row>
    <row r="2203" spans="1:2" x14ac:dyDescent="0.25">
      <c r="A2203" t="s">
        <v>629</v>
      </c>
      <c r="B2203" t="s">
        <v>122</v>
      </c>
    </row>
    <row r="2204" spans="1:2" x14ac:dyDescent="0.25">
      <c r="A2204" t="s">
        <v>631</v>
      </c>
      <c r="B2204" t="s">
        <v>122</v>
      </c>
    </row>
    <row r="2205" spans="1:2" x14ac:dyDescent="0.25">
      <c r="A2205" t="s">
        <v>612</v>
      </c>
      <c r="B2205" t="s">
        <v>1719</v>
      </c>
    </row>
    <row r="2206" spans="1:2" x14ac:dyDescent="0.25">
      <c r="A2206" t="s">
        <v>617</v>
      </c>
      <c r="B2206" t="s">
        <v>1719</v>
      </c>
    </row>
    <row r="2207" spans="1:2" x14ac:dyDescent="0.25">
      <c r="A2207" t="s">
        <v>613</v>
      </c>
      <c r="B2207" t="s">
        <v>2790</v>
      </c>
    </row>
    <row r="2208" spans="1:2" x14ac:dyDescent="0.25">
      <c r="A2208" t="s">
        <v>631</v>
      </c>
      <c r="B2208" t="s">
        <v>2524</v>
      </c>
    </row>
    <row r="2209" spans="1:2" x14ac:dyDescent="0.25">
      <c r="A2209" t="s">
        <v>611</v>
      </c>
      <c r="B2209" t="s">
        <v>1711</v>
      </c>
    </row>
    <row r="2210" spans="1:2" x14ac:dyDescent="0.25">
      <c r="A2210" t="s">
        <v>915</v>
      </c>
      <c r="B2210" t="s">
        <v>2141</v>
      </c>
    </row>
    <row r="2211" spans="1:2" x14ac:dyDescent="0.25">
      <c r="A2211" t="s">
        <v>615</v>
      </c>
      <c r="B2211" t="s">
        <v>128</v>
      </c>
    </row>
    <row r="2212" spans="1:2" x14ac:dyDescent="0.25">
      <c r="A2212" t="s">
        <v>633</v>
      </c>
      <c r="B2212" t="s">
        <v>2567</v>
      </c>
    </row>
    <row r="2213" spans="1:2" x14ac:dyDescent="0.25">
      <c r="A2213" t="s">
        <v>607</v>
      </c>
      <c r="B2213" t="s">
        <v>1442</v>
      </c>
    </row>
    <row r="2214" spans="1:2" x14ac:dyDescent="0.25">
      <c r="A2214" t="s">
        <v>623</v>
      </c>
      <c r="B2214" t="s">
        <v>2258</v>
      </c>
    </row>
    <row r="2215" spans="1:2" x14ac:dyDescent="0.25">
      <c r="A2215" t="s">
        <v>607</v>
      </c>
      <c r="B2215" t="s">
        <v>1456</v>
      </c>
    </row>
    <row r="2216" spans="1:2" x14ac:dyDescent="0.25">
      <c r="A2216" t="s">
        <v>632</v>
      </c>
      <c r="B2216" t="s">
        <v>2549</v>
      </c>
    </row>
    <row r="2217" spans="1:2" x14ac:dyDescent="0.25">
      <c r="A2217" t="s">
        <v>613</v>
      </c>
      <c r="B2217" t="s">
        <v>98</v>
      </c>
    </row>
    <row r="2218" spans="1:2" x14ac:dyDescent="0.25">
      <c r="A2218" t="s">
        <v>613</v>
      </c>
      <c r="B2218" t="s">
        <v>1803</v>
      </c>
    </row>
    <row r="2219" spans="1:2" x14ac:dyDescent="0.25">
      <c r="A2219" t="s">
        <v>635</v>
      </c>
      <c r="B2219" t="s">
        <v>1983</v>
      </c>
    </row>
    <row r="2220" spans="1:2" x14ac:dyDescent="0.25">
      <c r="A2220" t="s">
        <v>607</v>
      </c>
      <c r="B2220" t="s">
        <v>1432</v>
      </c>
    </row>
    <row r="2221" spans="1:2" x14ac:dyDescent="0.25">
      <c r="A2221" t="s">
        <v>629</v>
      </c>
      <c r="B2221" t="s">
        <v>1400</v>
      </c>
    </row>
    <row r="2222" spans="1:2" x14ac:dyDescent="0.25">
      <c r="A2222" t="s">
        <v>607</v>
      </c>
      <c r="B2222" t="s">
        <v>1433</v>
      </c>
    </row>
    <row r="2223" spans="1:2" x14ac:dyDescent="0.25">
      <c r="A2223" t="s">
        <v>613</v>
      </c>
      <c r="B2223" t="s">
        <v>1814</v>
      </c>
    </row>
    <row r="2224" spans="1:2" x14ac:dyDescent="0.25">
      <c r="A2224" t="s">
        <v>1045</v>
      </c>
      <c r="B2224" t="s">
        <v>2068</v>
      </c>
    </row>
    <row r="2225" spans="1:2" x14ac:dyDescent="0.25">
      <c r="A2225" t="s">
        <v>609</v>
      </c>
      <c r="B2225" t="s">
        <v>1530</v>
      </c>
    </row>
    <row r="2226" spans="1:2" x14ac:dyDescent="0.25">
      <c r="A2226" t="s">
        <v>604</v>
      </c>
      <c r="B2226" t="s">
        <v>1313</v>
      </c>
    </row>
    <row r="2227" spans="1:2" x14ac:dyDescent="0.25">
      <c r="A2227" t="s">
        <v>616</v>
      </c>
      <c r="B2227" t="s">
        <v>1313</v>
      </c>
    </row>
    <row r="2228" spans="1:2" x14ac:dyDescent="0.25">
      <c r="A2228" t="s">
        <v>630</v>
      </c>
      <c r="B2228" t="s">
        <v>2477</v>
      </c>
    </row>
    <row r="2229" spans="1:2" x14ac:dyDescent="0.25">
      <c r="A2229" t="s">
        <v>610</v>
      </c>
      <c r="B2229" t="s">
        <v>1657</v>
      </c>
    </row>
    <row r="2230" spans="1:2" x14ac:dyDescent="0.25">
      <c r="A2230" t="s">
        <v>618</v>
      </c>
      <c r="B2230" t="s">
        <v>2037</v>
      </c>
    </row>
    <row r="2231" spans="1:2" x14ac:dyDescent="0.25">
      <c r="A2231" t="s">
        <v>607</v>
      </c>
      <c r="B2231" t="s">
        <v>1450</v>
      </c>
    </row>
    <row r="2232" spans="1:2" x14ac:dyDescent="0.25">
      <c r="A2232" t="s">
        <v>610</v>
      </c>
      <c r="B2232" t="s">
        <v>1668</v>
      </c>
    </row>
    <row r="2233" spans="1:2" x14ac:dyDescent="0.25">
      <c r="A2233" t="s">
        <v>619</v>
      </c>
      <c r="B2233" t="s">
        <v>2096</v>
      </c>
    </row>
    <row r="2234" spans="1:2" x14ac:dyDescent="0.25">
      <c r="A2234" t="s">
        <v>607</v>
      </c>
      <c r="B2234" t="s">
        <v>1448</v>
      </c>
    </row>
    <row r="2235" spans="1:2" x14ac:dyDescent="0.25">
      <c r="A2235" t="s">
        <v>615</v>
      </c>
      <c r="B2235" t="s">
        <v>1874</v>
      </c>
    </row>
    <row r="2236" spans="1:2" x14ac:dyDescent="0.25">
      <c r="A2236" t="s">
        <v>628</v>
      </c>
      <c r="B2236" t="s">
        <v>2414</v>
      </c>
    </row>
    <row r="2237" spans="1:2" x14ac:dyDescent="0.25">
      <c r="A2237" t="s">
        <v>616</v>
      </c>
      <c r="B2237" t="s">
        <v>1919</v>
      </c>
    </row>
    <row r="2238" spans="1:2" x14ac:dyDescent="0.25">
      <c r="A2238" t="s">
        <v>2808</v>
      </c>
      <c r="B2238" t="s">
        <v>2326</v>
      </c>
    </row>
    <row r="2239" spans="1:2" x14ac:dyDescent="0.25">
      <c r="A2239" t="s">
        <v>615</v>
      </c>
      <c r="B2239" t="s">
        <v>1880</v>
      </c>
    </row>
    <row r="2240" spans="1:2" x14ac:dyDescent="0.25">
      <c r="A2240" t="s">
        <v>611</v>
      </c>
      <c r="B2240" t="s">
        <v>1674</v>
      </c>
    </row>
    <row r="2241" spans="1:2" x14ac:dyDescent="0.25">
      <c r="A2241" t="s">
        <v>612</v>
      </c>
      <c r="B2241" t="s">
        <v>1674</v>
      </c>
    </row>
    <row r="2242" spans="1:2" x14ac:dyDescent="0.25">
      <c r="A2242" t="s">
        <v>1045</v>
      </c>
      <c r="B2242" t="s">
        <v>2065</v>
      </c>
    </row>
    <row r="2243" spans="1:2" x14ac:dyDescent="0.25">
      <c r="A2243" t="s">
        <v>624</v>
      </c>
      <c r="B2243" t="s">
        <v>2333</v>
      </c>
    </row>
    <row r="2244" spans="1:2" x14ac:dyDescent="0.25">
      <c r="A2244" t="s">
        <v>606</v>
      </c>
      <c r="B2244" t="s">
        <v>1370</v>
      </c>
    </row>
    <row r="2245" spans="1:2" x14ac:dyDescent="0.25">
      <c r="A2245" t="s">
        <v>619</v>
      </c>
      <c r="B2245" t="s">
        <v>1370</v>
      </c>
    </row>
    <row r="2246" spans="1:2" x14ac:dyDescent="0.25">
      <c r="A2246" t="s">
        <v>624</v>
      </c>
      <c r="B2246" t="s">
        <v>1370</v>
      </c>
    </row>
    <row r="2247" spans="1:2" x14ac:dyDescent="0.25">
      <c r="A2247" t="s">
        <v>606</v>
      </c>
      <c r="B2247" t="s">
        <v>1380</v>
      </c>
    </row>
    <row r="2248" spans="1:2" x14ac:dyDescent="0.25">
      <c r="A2248" t="s">
        <v>617</v>
      </c>
      <c r="B2248" t="s">
        <v>1380</v>
      </c>
    </row>
    <row r="2249" spans="1:2" x14ac:dyDescent="0.25">
      <c r="A2249" t="s">
        <v>619</v>
      </c>
      <c r="B2249" t="s">
        <v>1380</v>
      </c>
    </row>
    <row r="2250" spans="1:2" x14ac:dyDescent="0.25">
      <c r="A2250" t="s">
        <v>629</v>
      </c>
      <c r="B2250" t="s">
        <v>1380</v>
      </c>
    </row>
    <row r="2251" spans="1:2" x14ac:dyDescent="0.25">
      <c r="A2251" t="s">
        <v>606</v>
      </c>
      <c r="B2251" t="s">
        <v>1397</v>
      </c>
    </row>
    <row r="2252" spans="1:2" x14ac:dyDescent="0.25">
      <c r="A2252" t="s">
        <v>609</v>
      </c>
      <c r="B2252" t="s">
        <v>1573</v>
      </c>
    </row>
    <row r="2253" spans="1:2" x14ac:dyDescent="0.25">
      <c r="A2253" t="s">
        <v>635</v>
      </c>
      <c r="B2253" t="s">
        <v>644</v>
      </c>
    </row>
    <row r="2254" spans="1:2" x14ac:dyDescent="0.25">
      <c r="A2254" t="s">
        <v>630</v>
      </c>
      <c r="B2254" t="s">
        <v>812</v>
      </c>
    </row>
    <row r="2255" spans="1:2" x14ac:dyDescent="0.25">
      <c r="A2255" t="s">
        <v>915</v>
      </c>
      <c r="B2255" t="s">
        <v>2151</v>
      </c>
    </row>
    <row r="2256" spans="1:2" x14ac:dyDescent="0.25">
      <c r="A2256" t="s">
        <v>608</v>
      </c>
      <c r="B2256" t="s">
        <v>1486</v>
      </c>
    </row>
    <row r="2257" spans="1:2" x14ac:dyDescent="0.25">
      <c r="A2257" t="s">
        <v>613</v>
      </c>
      <c r="B2257" t="s">
        <v>1486</v>
      </c>
    </row>
    <row r="2258" spans="1:2" x14ac:dyDescent="0.25">
      <c r="A2258" t="s">
        <v>618</v>
      </c>
      <c r="B2258" t="s">
        <v>2039</v>
      </c>
    </row>
    <row r="2259" spans="1:2" x14ac:dyDescent="0.25">
      <c r="A2259" t="s">
        <v>632</v>
      </c>
      <c r="B2259" t="s">
        <v>2039</v>
      </c>
    </row>
    <row r="2260" spans="1:2" x14ac:dyDescent="0.25">
      <c r="A2260" t="s">
        <v>618</v>
      </c>
      <c r="B2260" t="s">
        <v>45</v>
      </c>
    </row>
    <row r="2261" spans="1:2" x14ac:dyDescent="0.25">
      <c r="A2261" t="s">
        <v>915</v>
      </c>
      <c r="B2261" t="s">
        <v>2152</v>
      </c>
    </row>
    <row r="2262" spans="1:2" x14ac:dyDescent="0.25">
      <c r="A2262" t="s">
        <v>619</v>
      </c>
      <c r="B2262" t="s">
        <v>2097</v>
      </c>
    </row>
    <row r="2263" spans="1:2" x14ac:dyDescent="0.25">
      <c r="A2263" t="s">
        <v>602</v>
      </c>
      <c r="B2263" t="s">
        <v>1174</v>
      </c>
    </row>
    <row r="2264" spans="1:2" x14ac:dyDescent="0.25">
      <c r="A2264" t="s">
        <v>605</v>
      </c>
      <c r="B2264" t="s">
        <v>1336</v>
      </c>
    </row>
    <row r="2265" spans="1:2" x14ac:dyDescent="0.25">
      <c r="A2265" t="s">
        <v>614</v>
      </c>
      <c r="B2265" t="s">
        <v>898</v>
      </c>
    </row>
    <row r="2266" spans="1:2" x14ac:dyDescent="0.25">
      <c r="A2266" t="s">
        <v>627</v>
      </c>
      <c r="B2266" t="s">
        <v>2396</v>
      </c>
    </row>
    <row r="2267" spans="1:2" x14ac:dyDescent="0.25">
      <c r="A2267" t="s">
        <v>604</v>
      </c>
      <c r="B2267" t="s">
        <v>1305</v>
      </c>
    </row>
    <row r="2268" spans="1:2" x14ac:dyDescent="0.25">
      <c r="A2268" t="s">
        <v>629</v>
      </c>
      <c r="B2268" t="s">
        <v>189</v>
      </c>
    </row>
    <row r="2269" spans="1:2" x14ac:dyDescent="0.25">
      <c r="A2269" t="s">
        <v>607</v>
      </c>
      <c r="B2269" t="s">
        <v>457</v>
      </c>
    </row>
    <row r="2270" spans="1:2" x14ac:dyDescent="0.25">
      <c r="A2270" t="s">
        <v>603</v>
      </c>
      <c r="B2270" t="s">
        <v>1243</v>
      </c>
    </row>
    <row r="2271" spans="1:2" x14ac:dyDescent="0.25">
      <c r="A2271" t="s">
        <v>622</v>
      </c>
      <c r="B2271" t="s">
        <v>2233</v>
      </c>
    </row>
    <row r="2272" spans="1:2" x14ac:dyDescent="0.25">
      <c r="A2272" t="s">
        <v>624</v>
      </c>
      <c r="B2272" t="s">
        <v>69</v>
      </c>
    </row>
    <row r="2273" spans="1:2" x14ac:dyDescent="0.25">
      <c r="A2273" t="s">
        <v>628</v>
      </c>
      <c r="B2273" t="s">
        <v>69</v>
      </c>
    </row>
    <row r="2274" spans="1:2" x14ac:dyDescent="0.25">
      <c r="A2274" t="s">
        <v>627</v>
      </c>
      <c r="B2274" t="s">
        <v>2390</v>
      </c>
    </row>
    <row r="2275" spans="1:2" x14ac:dyDescent="0.25">
      <c r="A2275" t="s">
        <v>631</v>
      </c>
      <c r="B2275" t="s">
        <v>2506</v>
      </c>
    </row>
    <row r="2276" spans="1:2" x14ac:dyDescent="0.25">
      <c r="A2276" t="s">
        <v>609</v>
      </c>
      <c r="B2276" t="s">
        <v>1532</v>
      </c>
    </row>
    <row r="2277" spans="1:2" x14ac:dyDescent="0.25">
      <c r="A2277" t="s">
        <v>624</v>
      </c>
      <c r="B2277" t="s">
        <v>1532</v>
      </c>
    </row>
    <row r="2278" spans="1:2" x14ac:dyDescent="0.25">
      <c r="A2278" t="s">
        <v>624</v>
      </c>
      <c r="B2278" t="s">
        <v>2339</v>
      </c>
    </row>
    <row r="2279" spans="1:2" x14ac:dyDescent="0.25">
      <c r="A2279" t="s">
        <v>615</v>
      </c>
      <c r="B2279" t="s">
        <v>1865</v>
      </c>
    </row>
    <row r="2280" spans="1:2" x14ac:dyDescent="0.25">
      <c r="A2280" t="s">
        <v>617</v>
      </c>
      <c r="B2280" t="s">
        <v>1865</v>
      </c>
    </row>
    <row r="2281" spans="1:2" x14ac:dyDescent="0.25">
      <c r="A2281" t="s">
        <v>610</v>
      </c>
      <c r="B2281" t="s">
        <v>1633</v>
      </c>
    </row>
    <row r="2282" spans="1:2" x14ac:dyDescent="0.25">
      <c r="A2282" t="s">
        <v>619</v>
      </c>
      <c r="B2282" t="s">
        <v>2107</v>
      </c>
    </row>
    <row r="2283" spans="1:2" x14ac:dyDescent="0.25">
      <c r="A2283" t="s">
        <v>619</v>
      </c>
      <c r="B2283" t="s">
        <v>2126</v>
      </c>
    </row>
    <row r="2284" spans="1:2" x14ac:dyDescent="0.25">
      <c r="A2284" t="s">
        <v>624</v>
      </c>
      <c r="B2284" t="s">
        <v>2126</v>
      </c>
    </row>
    <row r="2285" spans="1:2" x14ac:dyDescent="0.25">
      <c r="A2285" t="s">
        <v>611</v>
      </c>
      <c r="B2285" t="s">
        <v>2607</v>
      </c>
    </row>
    <row r="2286" spans="1:2" x14ac:dyDescent="0.25">
      <c r="A2286" t="s">
        <v>612</v>
      </c>
      <c r="B2286" t="s">
        <v>2607</v>
      </c>
    </row>
    <row r="2287" spans="1:2" x14ac:dyDescent="0.25">
      <c r="A2287" t="s">
        <v>622</v>
      </c>
      <c r="B2287" t="s">
        <v>2236</v>
      </c>
    </row>
    <row r="2288" spans="1:2" x14ac:dyDescent="0.25">
      <c r="A2288" t="s">
        <v>831</v>
      </c>
      <c r="B2288" t="s">
        <v>1744</v>
      </c>
    </row>
    <row r="2289" spans="1:2" x14ac:dyDescent="0.25">
      <c r="A2289" t="s">
        <v>606</v>
      </c>
      <c r="B2289" t="s">
        <v>1383</v>
      </c>
    </row>
    <row r="2290" spans="1:2" x14ac:dyDescent="0.25">
      <c r="A2290" t="s">
        <v>618</v>
      </c>
      <c r="B2290" t="s">
        <v>1383</v>
      </c>
    </row>
    <row r="2291" spans="1:2" x14ac:dyDescent="0.25">
      <c r="A2291" t="s">
        <v>609</v>
      </c>
      <c r="B2291" t="s">
        <v>1576</v>
      </c>
    </row>
    <row r="2292" spans="1:2" x14ac:dyDescent="0.25">
      <c r="A2292" t="s">
        <v>616</v>
      </c>
      <c r="B2292" t="s">
        <v>1932</v>
      </c>
    </row>
    <row r="2293" spans="1:2" x14ac:dyDescent="0.25">
      <c r="A2293" t="s">
        <v>627</v>
      </c>
      <c r="B2293" t="s">
        <v>1932</v>
      </c>
    </row>
    <row r="2294" spans="1:2" x14ac:dyDescent="0.25">
      <c r="A2294" t="s">
        <v>631</v>
      </c>
      <c r="B2294" t="s">
        <v>1932</v>
      </c>
    </row>
    <row r="2295" spans="1:2" x14ac:dyDescent="0.25">
      <c r="A2295" t="s">
        <v>1012</v>
      </c>
      <c r="B2295" t="s">
        <v>1604</v>
      </c>
    </row>
    <row r="2296" spans="1:2" x14ac:dyDescent="0.25">
      <c r="A2296" t="s">
        <v>603</v>
      </c>
      <c r="B2296" t="s">
        <v>1212</v>
      </c>
    </row>
    <row r="2297" spans="1:2" x14ac:dyDescent="0.25">
      <c r="A2297" t="s">
        <v>617</v>
      </c>
      <c r="B2297" t="s">
        <v>1212</v>
      </c>
    </row>
    <row r="2298" spans="1:2" x14ac:dyDescent="0.25">
      <c r="A2298" t="s">
        <v>614</v>
      </c>
      <c r="B2298" t="s">
        <v>1850</v>
      </c>
    </row>
    <row r="2299" spans="1:2" x14ac:dyDescent="0.25">
      <c r="A2299" t="s">
        <v>616</v>
      </c>
      <c r="B2299" t="s">
        <v>1850</v>
      </c>
    </row>
    <row r="2300" spans="1:2" x14ac:dyDescent="0.25">
      <c r="A2300" t="s">
        <v>628</v>
      </c>
      <c r="B2300" t="s">
        <v>1850</v>
      </c>
    </row>
    <row r="2301" spans="1:2" x14ac:dyDescent="0.25">
      <c r="A2301" t="s">
        <v>631</v>
      </c>
      <c r="B2301" t="s">
        <v>1850</v>
      </c>
    </row>
    <row r="2302" spans="1:2" x14ac:dyDescent="0.25">
      <c r="A2302" t="s">
        <v>633</v>
      </c>
      <c r="B2302" t="s">
        <v>1850</v>
      </c>
    </row>
    <row r="2303" spans="1:2" x14ac:dyDescent="0.25">
      <c r="A2303" t="s">
        <v>617</v>
      </c>
      <c r="B2303" t="s">
        <v>2010</v>
      </c>
    </row>
    <row r="2304" spans="1:2" x14ac:dyDescent="0.25">
      <c r="A2304" t="s">
        <v>622</v>
      </c>
      <c r="B2304" t="s">
        <v>2010</v>
      </c>
    </row>
    <row r="2305" spans="1:2" x14ac:dyDescent="0.25">
      <c r="A2305" t="s">
        <v>1045</v>
      </c>
      <c r="B2305" t="s">
        <v>2763</v>
      </c>
    </row>
    <row r="2306" spans="1:2" x14ac:dyDescent="0.25">
      <c r="A2306" t="s">
        <v>635</v>
      </c>
      <c r="B2306" t="s">
        <v>1997</v>
      </c>
    </row>
    <row r="2307" spans="1:2" x14ac:dyDescent="0.25">
      <c r="A2307" t="s">
        <v>620</v>
      </c>
      <c r="B2307" t="s">
        <v>1997</v>
      </c>
    </row>
    <row r="2308" spans="1:2" x14ac:dyDescent="0.25">
      <c r="A2308" t="s">
        <v>953</v>
      </c>
      <c r="B2308" t="s">
        <v>1632</v>
      </c>
    </row>
    <row r="2309" spans="1:2" x14ac:dyDescent="0.25">
      <c r="A2309" t="s">
        <v>610</v>
      </c>
      <c r="B2309" t="s">
        <v>1632</v>
      </c>
    </row>
    <row r="2310" spans="1:2" x14ac:dyDescent="0.25">
      <c r="A2310" t="s">
        <v>611</v>
      </c>
      <c r="B2310" t="s">
        <v>1632</v>
      </c>
    </row>
    <row r="2311" spans="1:2" x14ac:dyDescent="0.25">
      <c r="A2311" t="s">
        <v>612</v>
      </c>
      <c r="B2311" t="s">
        <v>1632</v>
      </c>
    </row>
    <row r="2312" spans="1:2" x14ac:dyDescent="0.25">
      <c r="A2312" t="s">
        <v>616</v>
      </c>
      <c r="B2312" t="s">
        <v>1632</v>
      </c>
    </row>
    <row r="2313" spans="1:2" x14ac:dyDescent="0.25">
      <c r="A2313" t="s">
        <v>620</v>
      </c>
      <c r="B2313" t="s">
        <v>1632</v>
      </c>
    </row>
    <row r="2314" spans="1:2" x14ac:dyDescent="0.25">
      <c r="A2314" t="s">
        <v>624</v>
      </c>
      <c r="B2314" t="s">
        <v>1632</v>
      </c>
    </row>
    <row r="2315" spans="1:2" x14ac:dyDescent="0.25">
      <c r="A2315" t="s">
        <v>606</v>
      </c>
      <c r="B2315" t="s">
        <v>894</v>
      </c>
    </row>
    <row r="2316" spans="1:2" x14ac:dyDescent="0.25">
      <c r="A2316" t="s">
        <v>632</v>
      </c>
      <c r="B2316" t="s">
        <v>2551</v>
      </c>
    </row>
    <row r="2317" spans="1:2" x14ac:dyDescent="0.25">
      <c r="A2317" t="s">
        <v>606</v>
      </c>
      <c r="B2317" t="s">
        <v>1390</v>
      </c>
    </row>
    <row r="2318" spans="1:2" x14ac:dyDescent="0.25">
      <c r="A2318" t="s">
        <v>607</v>
      </c>
      <c r="B2318" t="s">
        <v>1460</v>
      </c>
    </row>
    <row r="2319" spans="1:2" x14ac:dyDescent="0.25">
      <c r="A2319" t="s">
        <v>605</v>
      </c>
      <c r="B2319" t="s">
        <v>1349</v>
      </c>
    </row>
    <row r="2320" spans="1:2" x14ac:dyDescent="0.25">
      <c r="A2320" t="s">
        <v>633</v>
      </c>
      <c r="B2320" t="s">
        <v>1349</v>
      </c>
    </row>
    <row r="2321" spans="1:2" x14ac:dyDescent="0.25">
      <c r="A2321" t="s">
        <v>605</v>
      </c>
      <c r="B2321" t="s">
        <v>1358</v>
      </c>
    </row>
    <row r="2322" spans="1:2" x14ac:dyDescent="0.25">
      <c r="A2322" t="s">
        <v>633</v>
      </c>
      <c r="B2322" t="s">
        <v>2581</v>
      </c>
    </row>
    <row r="2323" spans="1:2" x14ac:dyDescent="0.25">
      <c r="A2323" t="s">
        <v>605</v>
      </c>
      <c r="B2323" t="s">
        <v>1325</v>
      </c>
    </row>
    <row r="2324" spans="1:2" x14ac:dyDescent="0.25">
      <c r="A2324" t="s">
        <v>627</v>
      </c>
      <c r="B2324" t="s">
        <v>2774</v>
      </c>
    </row>
    <row r="2325" spans="1:2" x14ac:dyDescent="0.25">
      <c r="A2325" t="s">
        <v>601</v>
      </c>
      <c r="B2325" t="s">
        <v>2001</v>
      </c>
    </row>
    <row r="2326" spans="1:2" x14ac:dyDescent="0.25">
      <c r="A2326" t="s">
        <v>953</v>
      </c>
      <c r="B2326" t="s">
        <v>2001</v>
      </c>
    </row>
    <row r="2327" spans="1:2" x14ac:dyDescent="0.25">
      <c r="A2327" t="s">
        <v>617</v>
      </c>
      <c r="B2327" t="s">
        <v>2001</v>
      </c>
    </row>
    <row r="2328" spans="1:2" x14ac:dyDescent="0.25">
      <c r="A2328" t="s">
        <v>604</v>
      </c>
      <c r="B2328" t="s">
        <v>104</v>
      </c>
    </row>
    <row r="2329" spans="1:2" x14ac:dyDescent="0.25">
      <c r="A2329" t="s">
        <v>618</v>
      </c>
      <c r="B2329" t="s">
        <v>104</v>
      </c>
    </row>
    <row r="2330" spans="1:2" x14ac:dyDescent="0.25">
      <c r="A2330" t="s">
        <v>624</v>
      </c>
      <c r="B2330" t="s">
        <v>104</v>
      </c>
    </row>
    <row r="2331" spans="1:2" x14ac:dyDescent="0.25">
      <c r="A2331" t="s">
        <v>604</v>
      </c>
      <c r="B2331" t="s">
        <v>1282</v>
      </c>
    </row>
    <row r="2332" spans="1:2" x14ac:dyDescent="0.25">
      <c r="A2332" t="s">
        <v>605</v>
      </c>
      <c r="B2332" t="s">
        <v>1326</v>
      </c>
    </row>
    <row r="2333" spans="1:2" x14ac:dyDescent="0.25">
      <c r="A2333" t="s">
        <v>627</v>
      </c>
      <c r="B2333" t="s">
        <v>2391</v>
      </c>
    </row>
    <row r="2334" spans="1:2" x14ac:dyDescent="0.25">
      <c r="A2334" t="s">
        <v>622</v>
      </c>
      <c r="B2334" t="s">
        <v>2242</v>
      </c>
    </row>
    <row r="2335" spans="1:2" x14ac:dyDescent="0.25">
      <c r="A2335" t="s">
        <v>613</v>
      </c>
      <c r="B2335" t="s">
        <v>2603</v>
      </c>
    </row>
    <row r="2336" spans="1:2" x14ac:dyDescent="0.25">
      <c r="A2336" t="s">
        <v>616</v>
      </c>
      <c r="B2336" t="s">
        <v>2753</v>
      </c>
    </row>
    <row r="2337" spans="1:2" x14ac:dyDescent="0.25">
      <c r="A2337" t="s">
        <v>627</v>
      </c>
      <c r="B2337" t="s">
        <v>2368</v>
      </c>
    </row>
    <row r="2338" spans="1:2" x14ac:dyDescent="0.25">
      <c r="A2338" t="s">
        <v>611</v>
      </c>
      <c r="B2338" t="s">
        <v>1706</v>
      </c>
    </row>
    <row r="2339" spans="1:2" x14ac:dyDescent="0.25">
      <c r="A2339" t="s">
        <v>633</v>
      </c>
      <c r="B2339" t="s">
        <v>2577</v>
      </c>
    </row>
    <row r="2340" spans="1:2" x14ac:dyDescent="0.25">
      <c r="A2340" t="s">
        <v>618</v>
      </c>
      <c r="B2340" t="s">
        <v>149</v>
      </c>
    </row>
    <row r="2341" spans="1:2" x14ac:dyDescent="0.25">
      <c r="A2341" t="s">
        <v>607</v>
      </c>
      <c r="B2341" t="s">
        <v>1434</v>
      </c>
    </row>
    <row r="2342" spans="1:2" x14ac:dyDescent="0.25">
      <c r="A2342" t="s">
        <v>611</v>
      </c>
      <c r="B2342" t="s">
        <v>161</v>
      </c>
    </row>
    <row r="2343" spans="1:2" x14ac:dyDescent="0.25">
      <c r="A2343" t="s">
        <v>1045</v>
      </c>
      <c r="B2343" t="s">
        <v>2061</v>
      </c>
    </row>
    <row r="2344" spans="1:2" x14ac:dyDescent="0.25">
      <c r="A2344" t="s">
        <v>631</v>
      </c>
      <c r="B2344" t="s">
        <v>2501</v>
      </c>
    </row>
    <row r="2345" spans="1:2" x14ac:dyDescent="0.25">
      <c r="A2345" t="s">
        <v>602</v>
      </c>
      <c r="B2345" t="s">
        <v>974</v>
      </c>
    </row>
    <row r="2346" spans="1:2" x14ac:dyDescent="0.25">
      <c r="A2346" t="s">
        <v>604</v>
      </c>
      <c r="B2346" t="s">
        <v>974</v>
      </c>
    </row>
    <row r="2347" spans="1:2" x14ac:dyDescent="0.25">
      <c r="A2347" t="s">
        <v>607</v>
      </c>
      <c r="B2347" t="s">
        <v>974</v>
      </c>
    </row>
    <row r="2348" spans="1:2" x14ac:dyDescent="0.25">
      <c r="A2348" t="s">
        <v>608</v>
      </c>
      <c r="B2348" t="s">
        <v>974</v>
      </c>
    </row>
    <row r="2349" spans="1:2" x14ac:dyDescent="0.25">
      <c r="A2349" t="s">
        <v>953</v>
      </c>
      <c r="B2349" t="s">
        <v>974</v>
      </c>
    </row>
    <row r="2350" spans="1:2" x14ac:dyDescent="0.25">
      <c r="A2350" t="s">
        <v>613</v>
      </c>
      <c r="B2350" t="s">
        <v>974</v>
      </c>
    </row>
    <row r="2351" spans="1:2" x14ac:dyDescent="0.25">
      <c r="A2351" t="s">
        <v>615</v>
      </c>
      <c r="B2351" t="s">
        <v>974</v>
      </c>
    </row>
    <row r="2352" spans="1:2" x14ac:dyDescent="0.25">
      <c r="A2352" t="s">
        <v>616</v>
      </c>
      <c r="B2352" t="s">
        <v>974</v>
      </c>
    </row>
    <row r="2353" spans="1:2" x14ac:dyDescent="0.25">
      <c r="A2353" t="s">
        <v>622</v>
      </c>
      <c r="B2353" t="s">
        <v>974</v>
      </c>
    </row>
    <row r="2354" spans="1:2" x14ac:dyDescent="0.25">
      <c r="A2354" t="s">
        <v>632</v>
      </c>
      <c r="B2354" t="s">
        <v>974</v>
      </c>
    </row>
    <row r="2355" spans="1:2" x14ac:dyDescent="0.25">
      <c r="A2355" t="s">
        <v>633</v>
      </c>
      <c r="B2355" t="s">
        <v>974</v>
      </c>
    </row>
    <row r="2356" spans="1:2" x14ac:dyDescent="0.25">
      <c r="A2356" t="s">
        <v>620</v>
      </c>
      <c r="B2356" t="s">
        <v>2188</v>
      </c>
    </row>
    <row r="2357" spans="1:2" x14ac:dyDescent="0.25">
      <c r="A2357" t="s">
        <v>630</v>
      </c>
      <c r="B2357" t="s">
        <v>2188</v>
      </c>
    </row>
    <row r="2358" spans="1:2" x14ac:dyDescent="0.25">
      <c r="A2358" t="s">
        <v>602</v>
      </c>
      <c r="B2358" t="s">
        <v>1189</v>
      </c>
    </row>
    <row r="2359" spans="1:2" x14ac:dyDescent="0.25">
      <c r="A2359" t="s">
        <v>602</v>
      </c>
      <c r="B2359" t="s">
        <v>1186</v>
      </c>
    </row>
    <row r="2360" spans="1:2" x14ac:dyDescent="0.25">
      <c r="A2360" t="s">
        <v>602</v>
      </c>
      <c r="B2360" t="s">
        <v>1187</v>
      </c>
    </row>
    <row r="2361" spans="1:2" x14ac:dyDescent="0.25">
      <c r="A2361" t="s">
        <v>602</v>
      </c>
      <c r="B2361" t="s">
        <v>1185</v>
      </c>
    </row>
    <row r="2362" spans="1:2" x14ac:dyDescent="0.25">
      <c r="A2362" t="s">
        <v>602</v>
      </c>
      <c r="B2362" t="s">
        <v>1190</v>
      </c>
    </row>
    <row r="2363" spans="1:2" x14ac:dyDescent="0.25">
      <c r="A2363" t="s">
        <v>602</v>
      </c>
      <c r="B2363" t="s">
        <v>1198</v>
      </c>
    </row>
    <row r="2364" spans="1:2" x14ac:dyDescent="0.25">
      <c r="A2364" t="s">
        <v>603</v>
      </c>
      <c r="B2364" t="s">
        <v>1198</v>
      </c>
    </row>
    <row r="2365" spans="1:2" x14ac:dyDescent="0.25">
      <c r="A2365" t="s">
        <v>602</v>
      </c>
      <c r="B2365" t="s">
        <v>1188</v>
      </c>
    </row>
    <row r="2366" spans="1:2" x14ac:dyDescent="0.25">
      <c r="A2366" t="s">
        <v>604</v>
      </c>
      <c r="B2366" t="s">
        <v>1308</v>
      </c>
    </row>
    <row r="2367" spans="1:2" x14ac:dyDescent="0.25">
      <c r="A2367" t="s">
        <v>605</v>
      </c>
      <c r="B2367" t="s">
        <v>1308</v>
      </c>
    </row>
    <row r="2368" spans="1:2" x14ac:dyDescent="0.25">
      <c r="A2368" t="s">
        <v>624</v>
      </c>
      <c r="B2368" t="s">
        <v>1308</v>
      </c>
    </row>
    <row r="2369" spans="1:2" x14ac:dyDescent="0.25">
      <c r="A2369" t="s">
        <v>628</v>
      </c>
      <c r="B2369" t="s">
        <v>1308</v>
      </c>
    </row>
    <row r="2370" spans="1:2" x14ac:dyDescent="0.25">
      <c r="A2370" t="s">
        <v>628</v>
      </c>
      <c r="B2370" t="s">
        <v>2412</v>
      </c>
    </row>
    <row r="2371" spans="1:2" x14ac:dyDescent="0.25">
      <c r="A2371" t="s">
        <v>604</v>
      </c>
      <c r="B2371" t="s">
        <v>1297</v>
      </c>
    </row>
    <row r="2372" spans="1:2" x14ac:dyDescent="0.25">
      <c r="A2372" t="s">
        <v>1012</v>
      </c>
      <c r="B2372" t="s">
        <v>1620</v>
      </c>
    </row>
    <row r="2373" spans="1:2" x14ac:dyDescent="0.25">
      <c r="A2373" t="s">
        <v>609</v>
      </c>
      <c r="B2373" t="s">
        <v>1572</v>
      </c>
    </row>
    <row r="2374" spans="1:2" x14ac:dyDescent="0.25">
      <c r="A2374" t="s">
        <v>607</v>
      </c>
      <c r="B2374" t="s">
        <v>1419</v>
      </c>
    </row>
    <row r="2375" spans="1:2" x14ac:dyDescent="0.25">
      <c r="A2375" t="s">
        <v>628</v>
      </c>
      <c r="B2375" t="s">
        <v>2426</v>
      </c>
    </row>
    <row r="2376" spans="1:2" x14ac:dyDescent="0.25">
      <c r="A2376" t="s">
        <v>2616</v>
      </c>
      <c r="B2376" t="s">
        <v>2680</v>
      </c>
    </row>
    <row r="2377" spans="1:2" x14ac:dyDescent="0.25">
      <c r="A2377" t="s">
        <v>609</v>
      </c>
      <c r="B2377" t="s">
        <v>1582</v>
      </c>
    </row>
    <row r="2378" spans="1:2" x14ac:dyDescent="0.25">
      <c r="A2378" t="s">
        <v>604</v>
      </c>
      <c r="B2378" t="s">
        <v>1310</v>
      </c>
    </row>
    <row r="2379" spans="1:2" x14ac:dyDescent="0.25">
      <c r="A2379" t="s">
        <v>623</v>
      </c>
      <c r="B2379" t="s">
        <v>2264</v>
      </c>
    </row>
    <row r="2380" spans="1:2" x14ac:dyDescent="0.25">
      <c r="A2380" t="s">
        <v>627</v>
      </c>
      <c r="B2380" t="s">
        <v>2367</v>
      </c>
    </row>
    <row r="2381" spans="1:2" x14ac:dyDescent="0.25">
      <c r="A2381" t="s">
        <v>610</v>
      </c>
      <c r="B2381" t="s">
        <v>1672</v>
      </c>
    </row>
    <row r="2382" spans="1:2" x14ac:dyDescent="0.25">
      <c r="A2382" t="s">
        <v>623</v>
      </c>
      <c r="B2382" t="s">
        <v>2263</v>
      </c>
    </row>
    <row r="2383" spans="1:2" x14ac:dyDescent="0.25">
      <c r="A2383" t="s">
        <v>616</v>
      </c>
      <c r="B2383" t="s">
        <v>1921</v>
      </c>
    </row>
    <row r="2384" spans="1:2" x14ac:dyDescent="0.25">
      <c r="A2384" t="s">
        <v>609</v>
      </c>
      <c r="B2384" t="s">
        <v>1548</v>
      </c>
    </row>
    <row r="2385" spans="1:2" x14ac:dyDescent="0.25">
      <c r="A2385" t="s">
        <v>633</v>
      </c>
      <c r="B2385" t="s">
        <v>2595</v>
      </c>
    </row>
    <row r="2386" spans="1:2" x14ac:dyDescent="0.25">
      <c r="A2386" t="s">
        <v>1045</v>
      </c>
      <c r="B2386" t="s">
        <v>1056</v>
      </c>
    </row>
    <row r="2387" spans="1:2" x14ac:dyDescent="0.25">
      <c r="A2387" t="s">
        <v>632</v>
      </c>
      <c r="B2387" t="s">
        <v>1056</v>
      </c>
    </row>
    <row r="2388" spans="1:2" x14ac:dyDescent="0.25">
      <c r="A2388" t="s">
        <v>601</v>
      </c>
      <c r="B2388" t="s">
        <v>941</v>
      </c>
    </row>
    <row r="2389" spans="1:2" x14ac:dyDescent="0.25">
      <c r="A2389" t="s">
        <v>831</v>
      </c>
      <c r="B2389" t="s">
        <v>941</v>
      </c>
    </row>
    <row r="2390" spans="1:2" x14ac:dyDescent="0.25">
      <c r="A2390" t="s">
        <v>1012</v>
      </c>
      <c r="B2390" t="s">
        <v>941</v>
      </c>
    </row>
    <row r="2391" spans="1:2" x14ac:dyDescent="0.25">
      <c r="A2391" t="s">
        <v>915</v>
      </c>
      <c r="B2391" t="s">
        <v>941</v>
      </c>
    </row>
    <row r="2392" spans="1:2" x14ac:dyDescent="0.25">
      <c r="A2392" t="s">
        <v>627</v>
      </c>
      <c r="B2392" t="s">
        <v>809</v>
      </c>
    </row>
    <row r="2393" spans="1:2" x14ac:dyDescent="0.25">
      <c r="A2393" t="s">
        <v>608</v>
      </c>
      <c r="B2393" t="s">
        <v>1518</v>
      </c>
    </row>
    <row r="2394" spans="1:2" x14ac:dyDescent="0.25">
      <c r="A2394" t="s">
        <v>623</v>
      </c>
      <c r="B2394" t="s">
        <v>1518</v>
      </c>
    </row>
    <row r="2395" spans="1:2" x14ac:dyDescent="0.25">
      <c r="A2395" t="s">
        <v>616</v>
      </c>
      <c r="B2395" t="s">
        <v>1918</v>
      </c>
    </row>
    <row r="2396" spans="1:2" x14ac:dyDescent="0.25">
      <c r="A2396" t="s">
        <v>603</v>
      </c>
      <c r="B2396" t="s">
        <v>1217</v>
      </c>
    </row>
    <row r="2397" spans="1:2" x14ac:dyDescent="0.25">
      <c r="A2397" t="s">
        <v>609</v>
      </c>
      <c r="B2397" t="s">
        <v>1547</v>
      </c>
    </row>
    <row r="2398" spans="1:2" x14ac:dyDescent="0.25">
      <c r="A2398" t="s">
        <v>606</v>
      </c>
      <c r="B2398" t="s">
        <v>2448</v>
      </c>
    </row>
    <row r="2399" spans="1:2" x14ac:dyDescent="0.25">
      <c r="A2399" t="s">
        <v>611</v>
      </c>
      <c r="B2399" t="s">
        <v>1714</v>
      </c>
    </row>
    <row r="2400" spans="1:2" x14ac:dyDescent="0.25">
      <c r="A2400" t="s">
        <v>609</v>
      </c>
      <c r="B2400" t="s">
        <v>1533</v>
      </c>
    </row>
    <row r="2401" spans="1:2" x14ac:dyDescent="0.25">
      <c r="A2401" t="s">
        <v>624</v>
      </c>
      <c r="B2401" t="s">
        <v>1533</v>
      </c>
    </row>
    <row r="2402" spans="1:2" x14ac:dyDescent="0.25">
      <c r="A2402" t="s">
        <v>623</v>
      </c>
      <c r="B2402" t="s">
        <v>2253</v>
      </c>
    </row>
    <row r="2403" spans="1:2" x14ac:dyDescent="0.25">
      <c r="A2403" t="s">
        <v>619</v>
      </c>
      <c r="B2403" t="s">
        <v>829</v>
      </c>
    </row>
    <row r="2404" spans="1:2" x14ac:dyDescent="0.25">
      <c r="A2404" t="s">
        <v>623</v>
      </c>
      <c r="B2404" t="s">
        <v>829</v>
      </c>
    </row>
    <row r="2405" spans="1:2" x14ac:dyDescent="0.25">
      <c r="A2405" t="s">
        <v>623</v>
      </c>
      <c r="B2405" t="s">
        <v>2251</v>
      </c>
    </row>
    <row r="2406" spans="1:2" x14ac:dyDescent="0.25">
      <c r="A2406" t="s">
        <v>619</v>
      </c>
      <c r="B2406" t="s">
        <v>2086</v>
      </c>
    </row>
    <row r="2407" spans="1:2" x14ac:dyDescent="0.25">
      <c r="A2407" t="s">
        <v>623</v>
      </c>
      <c r="B2407" t="s">
        <v>2086</v>
      </c>
    </row>
    <row r="2408" spans="1:2" x14ac:dyDescent="0.25">
      <c r="A2408" t="s">
        <v>618</v>
      </c>
      <c r="B2408" t="s">
        <v>2030</v>
      </c>
    </row>
    <row r="2409" spans="1:2" x14ac:dyDescent="0.25">
      <c r="A2409" t="s">
        <v>623</v>
      </c>
      <c r="B2409" t="s">
        <v>2030</v>
      </c>
    </row>
    <row r="2410" spans="1:2" x14ac:dyDescent="0.25">
      <c r="A2410" t="s">
        <v>623</v>
      </c>
      <c r="B2410" t="s">
        <v>2252</v>
      </c>
    </row>
    <row r="2411" spans="1:2" x14ac:dyDescent="0.25">
      <c r="A2411" t="s">
        <v>623</v>
      </c>
      <c r="B2411" t="s">
        <v>2255</v>
      </c>
    </row>
    <row r="2412" spans="1:2" x14ac:dyDescent="0.25">
      <c r="A2412" t="s">
        <v>618</v>
      </c>
      <c r="B2412" t="s">
        <v>2029</v>
      </c>
    </row>
    <row r="2413" spans="1:2" x14ac:dyDescent="0.25">
      <c r="A2413" t="s">
        <v>623</v>
      </c>
      <c r="B2413" t="s">
        <v>2029</v>
      </c>
    </row>
    <row r="2414" spans="1:2" x14ac:dyDescent="0.25">
      <c r="A2414" t="s">
        <v>618</v>
      </c>
      <c r="B2414" t="s">
        <v>2031</v>
      </c>
    </row>
    <row r="2415" spans="1:2" x14ac:dyDescent="0.25">
      <c r="A2415" t="s">
        <v>623</v>
      </c>
      <c r="B2415" t="s">
        <v>2031</v>
      </c>
    </row>
    <row r="2416" spans="1:2" x14ac:dyDescent="0.25">
      <c r="A2416" t="s">
        <v>601</v>
      </c>
      <c r="B2416" t="s">
        <v>921</v>
      </c>
    </row>
    <row r="2417" spans="1:2" x14ac:dyDescent="0.25">
      <c r="A2417" t="s">
        <v>612</v>
      </c>
      <c r="B2417" t="s">
        <v>921</v>
      </c>
    </row>
    <row r="2418" spans="1:2" x14ac:dyDescent="0.25">
      <c r="A2418" t="s">
        <v>915</v>
      </c>
      <c r="B2418" t="s">
        <v>921</v>
      </c>
    </row>
    <row r="2419" spans="1:2" x14ac:dyDescent="0.25">
      <c r="A2419" t="s">
        <v>622</v>
      </c>
      <c r="B2419" t="s">
        <v>921</v>
      </c>
    </row>
    <row r="2420" spans="1:2" x14ac:dyDescent="0.25">
      <c r="A2420" t="s">
        <v>631</v>
      </c>
      <c r="B2420" t="s">
        <v>921</v>
      </c>
    </row>
    <row r="2421" spans="1:2" x14ac:dyDescent="0.25">
      <c r="A2421" t="s">
        <v>623</v>
      </c>
      <c r="B2421" t="s">
        <v>2254</v>
      </c>
    </row>
    <row r="2422" spans="1:2" x14ac:dyDescent="0.25">
      <c r="A2422" t="s">
        <v>630</v>
      </c>
      <c r="B2422" t="s">
        <v>2480</v>
      </c>
    </row>
    <row r="2423" spans="1:2" x14ac:dyDescent="0.25">
      <c r="A2423" t="s">
        <v>1045</v>
      </c>
      <c r="B2423" t="s">
        <v>1070</v>
      </c>
    </row>
    <row r="2424" spans="1:2" x14ac:dyDescent="0.25">
      <c r="A2424" t="s">
        <v>618</v>
      </c>
      <c r="B2424" t="s">
        <v>2045</v>
      </c>
    </row>
    <row r="2425" spans="1:2" x14ac:dyDescent="0.25">
      <c r="A2425" t="s">
        <v>915</v>
      </c>
      <c r="B2425" t="s">
        <v>2045</v>
      </c>
    </row>
    <row r="2426" spans="1:2" x14ac:dyDescent="0.25">
      <c r="A2426" t="s">
        <v>617</v>
      </c>
      <c r="B2426" t="s">
        <v>2009</v>
      </c>
    </row>
    <row r="2427" spans="1:2" x14ac:dyDescent="0.25">
      <c r="A2427" t="s">
        <v>601</v>
      </c>
      <c r="B2427" t="s">
        <v>11</v>
      </c>
    </row>
    <row r="2428" spans="1:2" x14ac:dyDescent="0.25">
      <c r="A2428" t="s">
        <v>613</v>
      </c>
      <c r="B2428" t="s">
        <v>11</v>
      </c>
    </row>
    <row r="2429" spans="1:2" x14ac:dyDescent="0.25">
      <c r="A2429" t="s">
        <v>635</v>
      </c>
      <c r="B2429" t="s">
        <v>11</v>
      </c>
    </row>
    <row r="2430" spans="1:2" x14ac:dyDescent="0.25">
      <c r="A2430" t="s">
        <v>620</v>
      </c>
      <c r="B2430" t="s">
        <v>11</v>
      </c>
    </row>
    <row r="2431" spans="1:2" x14ac:dyDescent="0.25">
      <c r="A2431" t="s">
        <v>628</v>
      </c>
      <c r="B2431" t="s">
        <v>2419</v>
      </c>
    </row>
    <row r="2432" spans="1:2" x14ac:dyDescent="0.25">
      <c r="A2432" t="s">
        <v>627</v>
      </c>
      <c r="B2432" t="s">
        <v>2370</v>
      </c>
    </row>
    <row r="2433" spans="1:2" x14ac:dyDescent="0.25">
      <c r="A2433" t="s">
        <v>607</v>
      </c>
      <c r="B2433" t="s">
        <v>748</v>
      </c>
    </row>
    <row r="2434" spans="1:2" x14ac:dyDescent="0.25">
      <c r="A2434" t="s">
        <v>610</v>
      </c>
      <c r="B2434" t="s">
        <v>748</v>
      </c>
    </row>
    <row r="2435" spans="1:2" x14ac:dyDescent="0.25">
      <c r="A2435" t="s">
        <v>635</v>
      </c>
      <c r="B2435" t="s">
        <v>748</v>
      </c>
    </row>
    <row r="2436" spans="1:2" x14ac:dyDescent="0.25">
      <c r="A2436" t="s">
        <v>1045</v>
      </c>
      <c r="B2436" t="s">
        <v>748</v>
      </c>
    </row>
    <row r="2437" spans="1:2" x14ac:dyDescent="0.25">
      <c r="A2437" t="s">
        <v>619</v>
      </c>
      <c r="B2437" t="s">
        <v>748</v>
      </c>
    </row>
    <row r="2438" spans="1:2" x14ac:dyDescent="0.25">
      <c r="A2438" t="s">
        <v>2808</v>
      </c>
      <c r="B2438" t="s">
        <v>748</v>
      </c>
    </row>
    <row r="2439" spans="1:2" x14ac:dyDescent="0.25">
      <c r="A2439" t="s">
        <v>631</v>
      </c>
      <c r="B2439" t="s">
        <v>748</v>
      </c>
    </row>
    <row r="2440" spans="1:2" x14ac:dyDescent="0.25">
      <c r="A2440" t="s">
        <v>613</v>
      </c>
      <c r="B2440" t="s">
        <v>1054</v>
      </c>
    </row>
    <row r="2441" spans="1:2" x14ac:dyDescent="0.25">
      <c r="A2441" t="s">
        <v>627</v>
      </c>
      <c r="B2441" t="s">
        <v>1054</v>
      </c>
    </row>
    <row r="2442" spans="1:2" x14ac:dyDescent="0.25">
      <c r="A2442" t="s">
        <v>604</v>
      </c>
      <c r="B2442" t="s">
        <v>1304</v>
      </c>
    </row>
    <row r="2443" spans="1:2" x14ac:dyDescent="0.25">
      <c r="A2443" t="s">
        <v>630</v>
      </c>
      <c r="B2443" t="s">
        <v>1304</v>
      </c>
    </row>
    <row r="2444" spans="1:2" x14ac:dyDescent="0.25">
      <c r="A2444" t="s">
        <v>604</v>
      </c>
      <c r="B2444" t="s">
        <v>1273</v>
      </c>
    </row>
    <row r="2445" spans="1:2" x14ac:dyDescent="0.25">
      <c r="A2445" t="s">
        <v>604</v>
      </c>
      <c r="B2445" t="s">
        <v>1284</v>
      </c>
    </row>
    <row r="2446" spans="1:2" x14ac:dyDescent="0.25">
      <c r="A2446" t="s">
        <v>614</v>
      </c>
      <c r="B2446" t="s">
        <v>1840</v>
      </c>
    </row>
    <row r="2447" spans="1:2" x14ac:dyDescent="0.25">
      <c r="A2447" t="s">
        <v>614</v>
      </c>
      <c r="B2447" t="s">
        <v>1824</v>
      </c>
    </row>
    <row r="2448" spans="1:2" x14ac:dyDescent="0.25">
      <c r="A2448" t="s">
        <v>618</v>
      </c>
      <c r="B2448" t="s">
        <v>1824</v>
      </c>
    </row>
    <row r="2449" spans="1:2" x14ac:dyDescent="0.25">
      <c r="A2449" t="s">
        <v>633</v>
      </c>
      <c r="B2449" t="s">
        <v>1824</v>
      </c>
    </row>
    <row r="2450" spans="1:2" x14ac:dyDescent="0.25">
      <c r="A2450" t="s">
        <v>624</v>
      </c>
      <c r="B2450" t="s">
        <v>2348</v>
      </c>
    </row>
    <row r="2451" spans="1:2" x14ac:dyDescent="0.25">
      <c r="A2451" t="s">
        <v>1012</v>
      </c>
      <c r="B2451" t="s">
        <v>1945</v>
      </c>
    </row>
    <row r="2452" spans="1:2" x14ac:dyDescent="0.25">
      <c r="A2452" t="s">
        <v>606</v>
      </c>
      <c r="B2452" t="s">
        <v>1399</v>
      </c>
    </row>
    <row r="2453" spans="1:2" x14ac:dyDescent="0.25">
      <c r="A2453" t="s">
        <v>630</v>
      </c>
      <c r="B2453" t="s">
        <v>2491</v>
      </c>
    </row>
    <row r="2454" spans="1:2" x14ac:dyDescent="0.25">
      <c r="A2454" t="s">
        <v>618</v>
      </c>
      <c r="B2454" t="s">
        <v>115</v>
      </c>
    </row>
    <row r="2455" spans="1:2" x14ac:dyDescent="0.25">
      <c r="A2455" t="s">
        <v>831</v>
      </c>
      <c r="B2455" t="s">
        <v>1778</v>
      </c>
    </row>
    <row r="2456" spans="1:2" x14ac:dyDescent="0.25">
      <c r="A2456" t="s">
        <v>622</v>
      </c>
      <c r="B2456" t="s">
        <v>2205</v>
      </c>
    </row>
    <row r="2457" spans="1:2" x14ac:dyDescent="0.25">
      <c r="A2457" t="s">
        <v>2808</v>
      </c>
      <c r="B2457" t="s">
        <v>2324</v>
      </c>
    </row>
    <row r="2458" spans="1:2" x14ac:dyDescent="0.25">
      <c r="A2458" t="s">
        <v>622</v>
      </c>
      <c r="B2458" t="s">
        <v>2206</v>
      </c>
    </row>
    <row r="2459" spans="1:2" x14ac:dyDescent="0.25">
      <c r="A2459" t="s">
        <v>615</v>
      </c>
      <c r="B2459" t="s">
        <v>131</v>
      </c>
    </row>
    <row r="2460" spans="1:2" x14ac:dyDescent="0.25">
      <c r="A2460" t="s">
        <v>617</v>
      </c>
      <c r="B2460" t="s">
        <v>2003</v>
      </c>
    </row>
    <row r="2461" spans="1:2" x14ac:dyDescent="0.25">
      <c r="A2461" t="s">
        <v>624</v>
      </c>
      <c r="B2461" t="s">
        <v>2003</v>
      </c>
    </row>
    <row r="2462" spans="1:2" x14ac:dyDescent="0.25">
      <c r="A2462" t="s">
        <v>609</v>
      </c>
      <c r="B2462" t="s">
        <v>1525</v>
      </c>
    </row>
    <row r="2463" spans="1:2" x14ac:dyDescent="0.25">
      <c r="A2463" t="s">
        <v>1012</v>
      </c>
      <c r="B2463" t="s">
        <v>1600</v>
      </c>
    </row>
    <row r="2464" spans="1:2" x14ac:dyDescent="0.25">
      <c r="A2464" t="s">
        <v>627</v>
      </c>
      <c r="B2464" t="s">
        <v>2359</v>
      </c>
    </row>
    <row r="2465" spans="1:2" x14ac:dyDescent="0.25">
      <c r="A2465" t="s">
        <v>617</v>
      </c>
      <c r="B2465" t="s">
        <v>2847</v>
      </c>
    </row>
    <row r="2466" spans="1:2" x14ac:dyDescent="0.25">
      <c r="A2466" t="s">
        <v>1045</v>
      </c>
      <c r="B2466" t="s">
        <v>640</v>
      </c>
    </row>
    <row r="2467" spans="1:2" x14ac:dyDescent="0.25">
      <c r="A2467" t="s">
        <v>633</v>
      </c>
      <c r="B2467" t="s">
        <v>2576</v>
      </c>
    </row>
    <row r="2468" spans="1:2" x14ac:dyDescent="0.25">
      <c r="A2468" t="s">
        <v>624</v>
      </c>
      <c r="B2468" t="s">
        <v>2336</v>
      </c>
    </row>
    <row r="2469" spans="1:2" x14ac:dyDescent="0.25">
      <c r="A2469" t="s">
        <v>606</v>
      </c>
      <c r="B2469" t="s">
        <v>2739</v>
      </c>
    </row>
    <row r="2470" spans="1:2" x14ac:dyDescent="0.25">
      <c r="A2470" t="s">
        <v>616</v>
      </c>
      <c r="B2470" t="s">
        <v>1927</v>
      </c>
    </row>
    <row r="2471" spans="1:2" x14ac:dyDescent="0.25">
      <c r="A2471" t="s">
        <v>606</v>
      </c>
      <c r="B2471" t="s">
        <v>1365</v>
      </c>
    </row>
    <row r="2472" spans="1:2" x14ac:dyDescent="0.25">
      <c r="A2472" t="s">
        <v>615</v>
      </c>
      <c r="B2472" t="s">
        <v>1365</v>
      </c>
    </row>
    <row r="2473" spans="1:2" x14ac:dyDescent="0.25">
      <c r="A2473" t="s">
        <v>624</v>
      </c>
      <c r="B2473" t="s">
        <v>1365</v>
      </c>
    </row>
    <row r="2474" spans="1:2" x14ac:dyDescent="0.25">
      <c r="A2474" t="s">
        <v>1012</v>
      </c>
      <c r="B2474" t="s">
        <v>1939</v>
      </c>
    </row>
    <row r="2475" spans="1:2" x14ac:dyDescent="0.25">
      <c r="A2475" t="s">
        <v>627</v>
      </c>
      <c r="B2475" t="s">
        <v>2392</v>
      </c>
    </row>
    <row r="2476" spans="1:2" x14ac:dyDescent="0.25">
      <c r="A2476" t="s">
        <v>604</v>
      </c>
      <c r="B2476" t="s">
        <v>1275</v>
      </c>
    </row>
    <row r="2477" spans="1:2" x14ac:dyDescent="0.25">
      <c r="A2477" t="s">
        <v>620</v>
      </c>
      <c r="B2477" t="s">
        <v>2159</v>
      </c>
    </row>
    <row r="2478" spans="1:2" x14ac:dyDescent="0.25">
      <c r="A2478" t="s">
        <v>635</v>
      </c>
      <c r="B2478" t="s">
        <v>1979</v>
      </c>
    </row>
    <row r="2479" spans="1:2" x14ac:dyDescent="0.25">
      <c r="A2479" t="s">
        <v>635</v>
      </c>
      <c r="B2479" t="s">
        <v>1963</v>
      </c>
    </row>
    <row r="2480" spans="1:2" x14ac:dyDescent="0.25">
      <c r="A2480" t="s">
        <v>631</v>
      </c>
      <c r="B2480" t="s">
        <v>2529</v>
      </c>
    </row>
    <row r="2481" spans="1:2" x14ac:dyDescent="0.25">
      <c r="A2481" t="s">
        <v>606</v>
      </c>
      <c r="B2481" t="s">
        <v>150</v>
      </c>
    </row>
    <row r="2482" spans="1:2" x14ac:dyDescent="0.25">
      <c r="A2482" t="s">
        <v>615</v>
      </c>
      <c r="B2482" t="s">
        <v>1876</v>
      </c>
    </row>
    <row r="2483" spans="1:2" x14ac:dyDescent="0.25">
      <c r="A2483" t="s">
        <v>627</v>
      </c>
      <c r="B2483" t="s">
        <v>1876</v>
      </c>
    </row>
    <row r="2484" spans="1:2" x14ac:dyDescent="0.25">
      <c r="A2484" t="s">
        <v>612</v>
      </c>
      <c r="B2484" t="s">
        <v>92</v>
      </c>
    </row>
    <row r="2485" spans="1:2" x14ac:dyDescent="0.25">
      <c r="A2485" t="s">
        <v>615</v>
      </c>
      <c r="B2485" t="s">
        <v>1870</v>
      </c>
    </row>
    <row r="2486" spans="1:2" x14ac:dyDescent="0.25">
      <c r="A2486" t="s">
        <v>623</v>
      </c>
      <c r="B2486" t="s">
        <v>2269</v>
      </c>
    </row>
    <row r="2487" spans="1:2" x14ac:dyDescent="0.25">
      <c r="A2487" t="s">
        <v>915</v>
      </c>
      <c r="B2487" t="s">
        <v>2140</v>
      </c>
    </row>
    <row r="2488" spans="1:2" x14ac:dyDescent="0.25">
      <c r="A2488" t="s">
        <v>633</v>
      </c>
      <c r="B2488" t="s">
        <v>2591</v>
      </c>
    </row>
    <row r="2489" spans="1:2" x14ac:dyDescent="0.25">
      <c r="A2489" t="s">
        <v>1012</v>
      </c>
      <c r="B2489" t="s">
        <v>1941</v>
      </c>
    </row>
    <row r="2490" spans="1:2" x14ac:dyDescent="0.25">
      <c r="A2490" t="s">
        <v>627</v>
      </c>
      <c r="B2490" t="s">
        <v>1941</v>
      </c>
    </row>
    <row r="2491" spans="1:2" x14ac:dyDescent="0.25">
      <c r="A2491" t="s">
        <v>831</v>
      </c>
      <c r="B2491" t="s">
        <v>1738</v>
      </c>
    </row>
    <row r="2492" spans="1:2" x14ac:dyDescent="0.25">
      <c r="A2492" t="s">
        <v>630</v>
      </c>
      <c r="B2492" t="s">
        <v>2469</v>
      </c>
    </row>
    <row r="2493" spans="1:2" x14ac:dyDescent="0.25">
      <c r="A2493" t="s">
        <v>622</v>
      </c>
      <c r="B2493" t="s">
        <v>2219</v>
      </c>
    </row>
    <row r="2494" spans="1:2" x14ac:dyDescent="0.25">
      <c r="A2494" t="s">
        <v>606</v>
      </c>
      <c r="B2494" t="s">
        <v>1381</v>
      </c>
    </row>
    <row r="2495" spans="1:2" x14ac:dyDescent="0.25">
      <c r="A2495" t="s">
        <v>609</v>
      </c>
      <c r="B2495" t="s">
        <v>1575</v>
      </c>
    </row>
    <row r="2496" spans="1:2" x14ac:dyDescent="0.25">
      <c r="A2496" t="s">
        <v>627</v>
      </c>
      <c r="B2496" t="s">
        <v>2357</v>
      </c>
    </row>
    <row r="2497" spans="1:2" x14ac:dyDescent="0.25">
      <c r="A2497" t="s">
        <v>633</v>
      </c>
      <c r="B2497" t="s">
        <v>2568</v>
      </c>
    </row>
    <row r="2498" spans="1:2" x14ac:dyDescent="0.25">
      <c r="A2498" t="s">
        <v>612</v>
      </c>
      <c r="B2498" t="s">
        <v>1722</v>
      </c>
    </row>
    <row r="2499" spans="1:2" x14ac:dyDescent="0.25">
      <c r="A2499" t="s">
        <v>603</v>
      </c>
      <c r="B2499" t="s">
        <v>1213</v>
      </c>
    </row>
    <row r="2500" spans="1:2" x14ac:dyDescent="0.25">
      <c r="A2500" t="s">
        <v>612</v>
      </c>
      <c r="B2500" t="s">
        <v>1213</v>
      </c>
    </row>
    <row r="2501" spans="1:2" x14ac:dyDescent="0.25">
      <c r="A2501" t="s">
        <v>831</v>
      </c>
      <c r="B2501" t="s">
        <v>1213</v>
      </c>
    </row>
    <row r="2502" spans="1:2" x14ac:dyDescent="0.25">
      <c r="A2502" t="s">
        <v>616</v>
      </c>
      <c r="B2502" t="s">
        <v>1213</v>
      </c>
    </row>
    <row r="2503" spans="1:2" x14ac:dyDescent="0.25">
      <c r="A2503" t="s">
        <v>624</v>
      </c>
      <c r="B2503" t="s">
        <v>1213</v>
      </c>
    </row>
    <row r="2504" spans="1:2" x14ac:dyDescent="0.25">
      <c r="A2504" t="s">
        <v>629</v>
      </c>
      <c r="B2504" t="s">
        <v>1213</v>
      </c>
    </row>
    <row r="2505" spans="1:2" x14ac:dyDescent="0.25">
      <c r="A2505" t="s">
        <v>631</v>
      </c>
      <c r="B2505" t="s">
        <v>1213</v>
      </c>
    </row>
    <row r="2506" spans="1:2" x14ac:dyDescent="0.25">
      <c r="A2506" t="s">
        <v>606</v>
      </c>
      <c r="B2506" t="s">
        <v>1384</v>
      </c>
    </row>
    <row r="2507" spans="1:2" x14ac:dyDescent="0.25">
      <c r="A2507" t="s">
        <v>831</v>
      </c>
      <c r="B2507" t="s">
        <v>1756</v>
      </c>
    </row>
    <row r="2508" spans="1:2" x14ac:dyDescent="0.25">
      <c r="A2508" t="s">
        <v>630</v>
      </c>
      <c r="B2508" t="s">
        <v>2466</v>
      </c>
    </row>
    <row r="2509" spans="1:2" x14ac:dyDescent="0.25">
      <c r="A2509" t="s">
        <v>608</v>
      </c>
      <c r="B2509" t="s">
        <v>206</v>
      </c>
    </row>
    <row r="2510" spans="1:2" x14ac:dyDescent="0.25">
      <c r="A2510" t="s">
        <v>615</v>
      </c>
      <c r="B2510" t="s">
        <v>206</v>
      </c>
    </row>
    <row r="2511" spans="1:2" x14ac:dyDescent="0.25">
      <c r="A2511" t="s">
        <v>615</v>
      </c>
      <c r="B2511" t="s">
        <v>87</v>
      </c>
    </row>
    <row r="2512" spans="1:2" x14ac:dyDescent="0.25">
      <c r="A2512" t="s">
        <v>617</v>
      </c>
      <c r="B2512" t="s">
        <v>87</v>
      </c>
    </row>
    <row r="2513" spans="1:2" x14ac:dyDescent="0.25">
      <c r="A2513" t="s">
        <v>624</v>
      </c>
      <c r="B2513" t="s">
        <v>87</v>
      </c>
    </row>
    <row r="2514" spans="1:2" x14ac:dyDescent="0.25">
      <c r="A2514" t="s">
        <v>602</v>
      </c>
      <c r="B2514" t="s">
        <v>1193</v>
      </c>
    </row>
    <row r="2515" spans="1:2" x14ac:dyDescent="0.25">
      <c r="A2515" t="s">
        <v>613</v>
      </c>
      <c r="B2515" t="s">
        <v>1795</v>
      </c>
    </row>
    <row r="2516" spans="1:2" x14ac:dyDescent="0.25">
      <c r="A2516" t="s">
        <v>601</v>
      </c>
      <c r="B2516" t="s">
        <v>1114</v>
      </c>
    </row>
    <row r="2517" spans="1:2" x14ac:dyDescent="0.25">
      <c r="A2517" t="s">
        <v>608</v>
      </c>
      <c r="B2517" t="s">
        <v>1114</v>
      </c>
    </row>
    <row r="2518" spans="1:2" x14ac:dyDescent="0.25">
      <c r="A2518" t="s">
        <v>624</v>
      </c>
      <c r="B2518" t="s">
        <v>1114</v>
      </c>
    </row>
    <row r="2519" spans="1:2" x14ac:dyDescent="0.25">
      <c r="A2519" t="s">
        <v>831</v>
      </c>
      <c r="B2519" t="s">
        <v>1769</v>
      </c>
    </row>
    <row r="2520" spans="1:2" x14ac:dyDescent="0.25">
      <c r="A2520" t="s">
        <v>622</v>
      </c>
      <c r="B2520" t="s">
        <v>2218</v>
      </c>
    </row>
    <row r="2521" spans="1:2" x14ac:dyDescent="0.25">
      <c r="A2521" t="s">
        <v>627</v>
      </c>
      <c r="B2521" t="s">
        <v>2387</v>
      </c>
    </row>
    <row r="2522" spans="1:2" x14ac:dyDescent="0.25">
      <c r="A2522" t="s">
        <v>635</v>
      </c>
      <c r="B2522" t="s">
        <v>1987</v>
      </c>
    </row>
    <row r="2523" spans="1:2" x14ac:dyDescent="0.25">
      <c r="A2523" t="s">
        <v>609</v>
      </c>
      <c r="B2523" t="s">
        <v>1599</v>
      </c>
    </row>
    <row r="2524" spans="1:2" x14ac:dyDescent="0.25">
      <c r="A2524" t="s">
        <v>612</v>
      </c>
      <c r="B2524" t="s">
        <v>1725</v>
      </c>
    </row>
    <row r="2525" spans="1:2" x14ac:dyDescent="0.25">
      <c r="A2525" t="s">
        <v>606</v>
      </c>
      <c r="B2525" t="s">
        <v>1406</v>
      </c>
    </row>
    <row r="2526" spans="1:2" x14ac:dyDescent="0.25">
      <c r="A2526" t="s">
        <v>619</v>
      </c>
      <c r="B2526" t="s">
        <v>1406</v>
      </c>
    </row>
    <row r="2527" spans="1:2" x14ac:dyDescent="0.25">
      <c r="A2527" t="s">
        <v>630</v>
      </c>
      <c r="B2527" t="s">
        <v>2481</v>
      </c>
    </row>
    <row r="2528" spans="1:2" x14ac:dyDescent="0.25">
      <c r="A2528" t="s">
        <v>616</v>
      </c>
      <c r="B2528" t="s">
        <v>1934</v>
      </c>
    </row>
    <row r="2529" spans="1:2" x14ac:dyDescent="0.25">
      <c r="A2529" t="s">
        <v>631</v>
      </c>
      <c r="B2529" t="s">
        <v>1934</v>
      </c>
    </row>
    <row r="2530" spans="1:2" x14ac:dyDescent="0.25">
      <c r="A2530" t="s">
        <v>611</v>
      </c>
      <c r="B2530" t="s">
        <v>1697</v>
      </c>
    </row>
    <row r="2531" spans="1:2" x14ac:dyDescent="0.25">
      <c r="A2531" t="s">
        <v>612</v>
      </c>
      <c r="B2531" t="s">
        <v>1697</v>
      </c>
    </row>
    <row r="2532" spans="1:2" x14ac:dyDescent="0.25">
      <c r="A2532" t="s">
        <v>619</v>
      </c>
      <c r="B2532" t="s">
        <v>2114</v>
      </c>
    </row>
    <row r="2533" spans="1:2" x14ac:dyDescent="0.25">
      <c r="A2533" t="s">
        <v>608</v>
      </c>
      <c r="B2533" t="s">
        <v>1005</v>
      </c>
    </row>
    <row r="2534" spans="1:2" x14ac:dyDescent="0.25">
      <c r="A2534" t="s">
        <v>624</v>
      </c>
      <c r="B2534" t="s">
        <v>1005</v>
      </c>
    </row>
    <row r="2535" spans="1:2" x14ac:dyDescent="0.25">
      <c r="A2535" t="s">
        <v>632</v>
      </c>
      <c r="B2535" t="s">
        <v>1005</v>
      </c>
    </row>
    <row r="2536" spans="1:2" x14ac:dyDescent="0.25">
      <c r="A2536" t="s">
        <v>1012</v>
      </c>
      <c r="B2536" t="s">
        <v>670</v>
      </c>
    </row>
    <row r="2537" spans="1:2" x14ac:dyDescent="0.25">
      <c r="A2537" t="s">
        <v>632</v>
      </c>
      <c r="B2537" t="s">
        <v>670</v>
      </c>
    </row>
    <row r="2538" spans="1:2" x14ac:dyDescent="0.25">
      <c r="A2538" t="s">
        <v>1012</v>
      </c>
      <c r="B2538" t="s">
        <v>78</v>
      </c>
    </row>
    <row r="2539" spans="1:2" x14ac:dyDescent="0.25">
      <c r="A2539" t="s">
        <v>1045</v>
      </c>
      <c r="B2539" t="s">
        <v>1053</v>
      </c>
    </row>
    <row r="2540" spans="1:2" x14ac:dyDescent="0.25">
      <c r="A2540" t="s">
        <v>630</v>
      </c>
      <c r="B2540" t="s">
        <v>2452</v>
      </c>
    </row>
    <row r="2541" spans="1:2" x14ac:dyDescent="0.25">
      <c r="A2541" t="s">
        <v>622</v>
      </c>
      <c r="B2541" t="s">
        <v>2212</v>
      </c>
    </row>
    <row r="2542" spans="1:2" x14ac:dyDescent="0.25">
      <c r="A2542" t="s">
        <v>633</v>
      </c>
      <c r="B2542" t="s">
        <v>2785</v>
      </c>
    </row>
    <row r="2543" spans="1:2" x14ac:dyDescent="0.25">
      <c r="A2543" t="s">
        <v>831</v>
      </c>
      <c r="B2543" t="s">
        <v>1733</v>
      </c>
    </row>
    <row r="2544" spans="1:2" x14ac:dyDescent="0.25">
      <c r="A2544" t="s">
        <v>627</v>
      </c>
      <c r="B2544" t="s">
        <v>2371</v>
      </c>
    </row>
    <row r="2545" spans="1:2" x14ac:dyDescent="0.25">
      <c r="A2545" t="s">
        <v>627</v>
      </c>
      <c r="B2545" t="s">
        <v>2393</v>
      </c>
    </row>
    <row r="2546" spans="1:2" x14ac:dyDescent="0.25">
      <c r="A2546" t="s">
        <v>627</v>
      </c>
      <c r="B2546" t="s">
        <v>2356</v>
      </c>
    </row>
    <row r="2547" spans="1:2" x14ac:dyDescent="0.25">
      <c r="A2547" t="s">
        <v>2808</v>
      </c>
      <c r="B2547" t="s">
        <v>2303</v>
      </c>
    </row>
    <row r="2548" spans="1:2" x14ac:dyDescent="0.25">
      <c r="A2548" t="s">
        <v>630</v>
      </c>
      <c r="B2548" t="s">
        <v>2462</v>
      </c>
    </row>
    <row r="2549" spans="1:2" x14ac:dyDescent="0.25">
      <c r="A2549" t="s">
        <v>2616</v>
      </c>
      <c r="B2549" t="s">
        <v>2647</v>
      </c>
    </row>
    <row r="2550" spans="1:2" x14ac:dyDescent="0.25">
      <c r="A2550" t="s">
        <v>616</v>
      </c>
      <c r="B2550" t="s">
        <v>1933</v>
      </c>
    </row>
    <row r="2551" spans="1:2" x14ac:dyDescent="0.25">
      <c r="A2551" t="s">
        <v>603</v>
      </c>
      <c r="B2551" t="s">
        <v>1226</v>
      </c>
    </row>
    <row r="2552" spans="1:2" x14ac:dyDescent="0.25">
      <c r="A2552" t="s">
        <v>1012</v>
      </c>
      <c r="B2552" t="s">
        <v>938</v>
      </c>
    </row>
    <row r="2553" spans="1:2" x14ac:dyDescent="0.25">
      <c r="A2553" t="s">
        <v>632</v>
      </c>
      <c r="B2553" t="s">
        <v>938</v>
      </c>
    </row>
    <row r="2554" spans="1:2" x14ac:dyDescent="0.25">
      <c r="A2554" t="s">
        <v>615</v>
      </c>
      <c r="B2554" t="s">
        <v>1886</v>
      </c>
    </row>
    <row r="2555" spans="1:2" x14ac:dyDescent="0.25">
      <c r="A2555" t="s">
        <v>627</v>
      </c>
      <c r="B2555" t="s">
        <v>1886</v>
      </c>
    </row>
    <row r="2556" spans="1:2" x14ac:dyDescent="0.25">
      <c r="A2556" t="s">
        <v>620</v>
      </c>
      <c r="B2556" t="s">
        <v>2170</v>
      </c>
    </row>
    <row r="2557" spans="1:2" x14ac:dyDescent="0.25">
      <c r="A2557" t="s">
        <v>628</v>
      </c>
      <c r="B2557" t="s">
        <v>2405</v>
      </c>
    </row>
    <row r="2558" spans="1:2" x14ac:dyDescent="0.25">
      <c r="A2558" t="s">
        <v>608</v>
      </c>
      <c r="B2558" t="s">
        <v>1505</v>
      </c>
    </row>
    <row r="2559" spans="1:2" x14ac:dyDescent="0.25">
      <c r="A2559" t="s">
        <v>615</v>
      </c>
      <c r="B2559" t="s">
        <v>1505</v>
      </c>
    </row>
    <row r="2560" spans="1:2" x14ac:dyDescent="0.25">
      <c r="A2560" t="s">
        <v>624</v>
      </c>
      <c r="B2560" t="s">
        <v>1505</v>
      </c>
    </row>
    <row r="2561" spans="1:2" x14ac:dyDescent="0.25">
      <c r="A2561" t="s">
        <v>2616</v>
      </c>
      <c r="B2561" t="s">
        <v>2684</v>
      </c>
    </row>
    <row r="2562" spans="1:2" x14ac:dyDescent="0.25">
      <c r="A2562" t="s">
        <v>604</v>
      </c>
      <c r="B2562" t="s">
        <v>1278</v>
      </c>
    </row>
    <row r="2563" spans="1:2" x14ac:dyDescent="0.25">
      <c r="A2563" t="s">
        <v>628</v>
      </c>
      <c r="B2563" t="s">
        <v>2409</v>
      </c>
    </row>
    <row r="2564" spans="1:2" x14ac:dyDescent="0.25">
      <c r="A2564" t="s">
        <v>630</v>
      </c>
      <c r="B2564" t="s">
        <v>2409</v>
      </c>
    </row>
    <row r="2565" spans="1:2" x14ac:dyDescent="0.25">
      <c r="A2565" t="s">
        <v>619</v>
      </c>
      <c r="B2565" t="s">
        <v>2088</v>
      </c>
    </row>
    <row r="2566" spans="1:2" x14ac:dyDescent="0.25">
      <c r="A2566" t="s">
        <v>631</v>
      </c>
      <c r="B2566" t="s">
        <v>2497</v>
      </c>
    </row>
    <row r="2567" spans="1:2" x14ac:dyDescent="0.25">
      <c r="A2567" t="s">
        <v>604</v>
      </c>
      <c r="B2567" t="s">
        <v>1268</v>
      </c>
    </row>
    <row r="2568" spans="1:2" x14ac:dyDescent="0.25">
      <c r="A2568" t="s">
        <v>624</v>
      </c>
      <c r="B2568" t="s">
        <v>119</v>
      </c>
    </row>
    <row r="2569" spans="1:2" x14ac:dyDescent="0.25">
      <c r="A2569" t="s">
        <v>620</v>
      </c>
      <c r="B2569" t="s">
        <v>2160</v>
      </c>
    </row>
    <row r="2570" spans="1:2" x14ac:dyDescent="0.25">
      <c r="A2570" t="s">
        <v>610</v>
      </c>
      <c r="B2570" t="s">
        <v>1645</v>
      </c>
    </row>
    <row r="2571" spans="1:2" x14ac:dyDescent="0.25">
      <c r="A2571" t="s">
        <v>624</v>
      </c>
      <c r="B2571" t="s">
        <v>1645</v>
      </c>
    </row>
    <row r="2572" spans="1:2" x14ac:dyDescent="0.25">
      <c r="A2572" t="s">
        <v>610</v>
      </c>
      <c r="B2572" t="s">
        <v>1644</v>
      </c>
    </row>
    <row r="2573" spans="1:2" x14ac:dyDescent="0.25">
      <c r="A2573" t="s">
        <v>624</v>
      </c>
      <c r="B2573" t="s">
        <v>1644</v>
      </c>
    </row>
    <row r="2574" spans="1:2" x14ac:dyDescent="0.25">
      <c r="A2574" t="s">
        <v>2616</v>
      </c>
      <c r="B2574" t="s">
        <v>2660</v>
      </c>
    </row>
    <row r="2575" spans="1:2" x14ac:dyDescent="0.25">
      <c r="A2575" t="s">
        <v>2808</v>
      </c>
      <c r="B2575" t="s">
        <v>2306</v>
      </c>
    </row>
    <row r="2576" spans="1:2" x14ac:dyDescent="0.25">
      <c r="A2576" t="s">
        <v>610</v>
      </c>
      <c r="B2576" t="s">
        <v>1646</v>
      </c>
    </row>
    <row r="2577" spans="1:2" x14ac:dyDescent="0.25">
      <c r="A2577" t="s">
        <v>604</v>
      </c>
      <c r="B2577" t="s">
        <v>1302</v>
      </c>
    </row>
    <row r="2578" spans="1:2" x14ac:dyDescent="0.25">
      <c r="A2578" t="s">
        <v>953</v>
      </c>
      <c r="B2578" t="s">
        <v>994</v>
      </c>
    </row>
    <row r="2579" spans="1:2" x14ac:dyDescent="0.25">
      <c r="A2579" t="s">
        <v>622</v>
      </c>
      <c r="B2579" t="s">
        <v>2234</v>
      </c>
    </row>
    <row r="2580" spans="1:2" x14ac:dyDescent="0.25">
      <c r="A2580" t="s">
        <v>630</v>
      </c>
      <c r="B2580" t="s">
        <v>2453</v>
      </c>
    </row>
    <row r="2581" spans="1:2" x14ac:dyDescent="0.25">
      <c r="A2581" t="s">
        <v>618</v>
      </c>
      <c r="B2581" t="s">
        <v>2801</v>
      </c>
    </row>
    <row r="2582" spans="1:2" x14ac:dyDescent="0.25">
      <c r="A2582" t="s">
        <v>635</v>
      </c>
      <c r="B2582" t="s">
        <v>1958</v>
      </c>
    </row>
    <row r="2583" spans="1:2" x14ac:dyDescent="0.25">
      <c r="A2583" t="s">
        <v>605</v>
      </c>
      <c r="B2583" t="s">
        <v>1059</v>
      </c>
    </row>
    <row r="2584" spans="1:2" x14ac:dyDescent="0.25">
      <c r="A2584" t="s">
        <v>1045</v>
      </c>
      <c r="B2584" t="s">
        <v>1059</v>
      </c>
    </row>
    <row r="2585" spans="1:2" x14ac:dyDescent="0.25">
      <c r="A2585" t="s">
        <v>607</v>
      </c>
      <c r="B2585" t="s">
        <v>1427</v>
      </c>
    </row>
    <row r="2586" spans="1:2" x14ac:dyDescent="0.25">
      <c r="A2586" t="s">
        <v>608</v>
      </c>
      <c r="B2586" t="s">
        <v>1491</v>
      </c>
    </row>
    <row r="2587" spans="1:2" x14ac:dyDescent="0.25">
      <c r="A2587" t="s">
        <v>608</v>
      </c>
      <c r="B2587" t="s">
        <v>1524</v>
      </c>
    </row>
    <row r="2588" spans="1:2" x14ac:dyDescent="0.25">
      <c r="A2588" t="s">
        <v>623</v>
      </c>
      <c r="B2588" t="s">
        <v>2273</v>
      </c>
    </row>
    <row r="2589" spans="1:2" x14ac:dyDescent="0.25">
      <c r="A2589" t="s">
        <v>831</v>
      </c>
      <c r="B2589" t="s">
        <v>1766</v>
      </c>
    </row>
    <row r="2590" spans="1:2" x14ac:dyDescent="0.25">
      <c r="A2590" t="s">
        <v>611</v>
      </c>
      <c r="B2590" t="s">
        <v>77</v>
      </c>
    </row>
    <row r="2591" spans="1:2" x14ac:dyDescent="0.25">
      <c r="A2591" t="s">
        <v>612</v>
      </c>
      <c r="B2591" t="s">
        <v>77</v>
      </c>
    </row>
    <row r="2592" spans="1:2" x14ac:dyDescent="0.25">
      <c r="A2592" t="s">
        <v>1012</v>
      </c>
      <c r="B2592" t="s">
        <v>77</v>
      </c>
    </row>
    <row r="2593" spans="1:2" x14ac:dyDescent="0.25">
      <c r="A2593" t="s">
        <v>618</v>
      </c>
      <c r="B2593" t="s">
        <v>2034</v>
      </c>
    </row>
    <row r="2594" spans="1:2" x14ac:dyDescent="0.25">
      <c r="A2594" t="s">
        <v>602</v>
      </c>
      <c r="B2594" t="s">
        <v>1195</v>
      </c>
    </row>
    <row r="2595" spans="1:2" x14ac:dyDescent="0.25">
      <c r="A2595" t="s">
        <v>610</v>
      </c>
      <c r="B2595" t="s">
        <v>1628</v>
      </c>
    </row>
    <row r="2596" spans="1:2" x14ac:dyDescent="0.25">
      <c r="A2596" t="s">
        <v>619</v>
      </c>
      <c r="B2596" t="s">
        <v>1628</v>
      </c>
    </row>
    <row r="2597" spans="1:2" x14ac:dyDescent="0.25">
      <c r="A2597" t="s">
        <v>603</v>
      </c>
      <c r="B2597" t="s">
        <v>884</v>
      </c>
    </row>
    <row r="2598" spans="1:2" x14ac:dyDescent="0.25">
      <c r="A2598" t="s">
        <v>606</v>
      </c>
      <c r="B2598" t="s">
        <v>884</v>
      </c>
    </row>
    <row r="2599" spans="1:2" x14ac:dyDescent="0.25">
      <c r="A2599" t="s">
        <v>607</v>
      </c>
      <c r="B2599" t="s">
        <v>58</v>
      </c>
    </row>
    <row r="2600" spans="1:2" x14ac:dyDescent="0.25">
      <c r="A2600" t="s">
        <v>609</v>
      </c>
      <c r="B2600" t="s">
        <v>1598</v>
      </c>
    </row>
    <row r="2601" spans="1:2" x14ac:dyDescent="0.25">
      <c r="A2601" t="s">
        <v>615</v>
      </c>
      <c r="B2601" t="s">
        <v>1903</v>
      </c>
    </row>
    <row r="2602" spans="1:2" x14ac:dyDescent="0.25">
      <c r="A2602" t="s">
        <v>617</v>
      </c>
      <c r="B2602" t="s">
        <v>1903</v>
      </c>
    </row>
    <row r="2603" spans="1:2" x14ac:dyDescent="0.25">
      <c r="A2603" t="s">
        <v>611</v>
      </c>
      <c r="B2603" t="s">
        <v>1709</v>
      </c>
    </row>
    <row r="2604" spans="1:2" x14ac:dyDescent="0.25">
      <c r="A2604" t="s">
        <v>615</v>
      </c>
      <c r="B2604" t="s">
        <v>1709</v>
      </c>
    </row>
    <row r="2605" spans="1:2" x14ac:dyDescent="0.25">
      <c r="A2605" t="s">
        <v>617</v>
      </c>
      <c r="B2605" t="s">
        <v>1709</v>
      </c>
    </row>
    <row r="2606" spans="1:2" x14ac:dyDescent="0.25">
      <c r="A2606" t="s">
        <v>622</v>
      </c>
      <c r="B2606" t="s">
        <v>1709</v>
      </c>
    </row>
    <row r="2607" spans="1:2" x14ac:dyDescent="0.25">
      <c r="A2607" t="s">
        <v>628</v>
      </c>
      <c r="B2607" t="s">
        <v>1709</v>
      </c>
    </row>
    <row r="2608" spans="1:2" x14ac:dyDescent="0.25">
      <c r="A2608" t="s">
        <v>630</v>
      </c>
      <c r="B2608" t="s">
        <v>1709</v>
      </c>
    </row>
    <row r="2609" spans="1:2" x14ac:dyDescent="0.25">
      <c r="A2609" t="s">
        <v>631</v>
      </c>
      <c r="B2609" t="s">
        <v>1709</v>
      </c>
    </row>
    <row r="2610" spans="1:2" x14ac:dyDescent="0.25">
      <c r="A2610" t="s">
        <v>615</v>
      </c>
      <c r="B2610" t="s">
        <v>1893</v>
      </c>
    </row>
    <row r="2611" spans="1:2" x14ac:dyDescent="0.25">
      <c r="A2611" t="s">
        <v>617</v>
      </c>
      <c r="B2611" t="s">
        <v>1893</v>
      </c>
    </row>
    <row r="2612" spans="1:2" x14ac:dyDescent="0.25">
      <c r="A2612" t="s">
        <v>624</v>
      </c>
      <c r="B2612" t="s">
        <v>1893</v>
      </c>
    </row>
    <row r="2613" spans="1:2" x14ac:dyDescent="0.25">
      <c r="A2613" t="s">
        <v>627</v>
      </c>
      <c r="B2613" t="s">
        <v>2360</v>
      </c>
    </row>
    <row r="2614" spans="1:2" x14ac:dyDescent="0.25">
      <c r="A2614" t="s">
        <v>606</v>
      </c>
      <c r="B2614" t="s">
        <v>1388</v>
      </c>
    </row>
    <row r="2615" spans="1:2" x14ac:dyDescent="0.25">
      <c r="A2615" t="s">
        <v>624</v>
      </c>
      <c r="B2615" t="s">
        <v>2335</v>
      </c>
    </row>
    <row r="2616" spans="1:2" x14ac:dyDescent="0.25">
      <c r="A2616" t="s">
        <v>624</v>
      </c>
      <c r="B2616" t="s">
        <v>2332</v>
      </c>
    </row>
    <row r="2617" spans="1:2" x14ac:dyDescent="0.25">
      <c r="A2617" t="s">
        <v>915</v>
      </c>
      <c r="B2617" t="s">
        <v>2147</v>
      </c>
    </row>
    <row r="2618" spans="1:2" x14ac:dyDescent="0.25">
      <c r="A2618" t="s">
        <v>619</v>
      </c>
      <c r="B2618" t="s">
        <v>2125</v>
      </c>
    </row>
    <row r="2619" spans="1:2" x14ac:dyDescent="0.25">
      <c r="A2619" t="s">
        <v>953</v>
      </c>
      <c r="B2619" t="s">
        <v>985</v>
      </c>
    </row>
    <row r="2620" spans="1:2" x14ac:dyDescent="0.25">
      <c r="A2620" t="s">
        <v>1045</v>
      </c>
      <c r="B2620" t="s">
        <v>2062</v>
      </c>
    </row>
    <row r="2621" spans="1:2" x14ac:dyDescent="0.25">
      <c r="A2621" t="s">
        <v>831</v>
      </c>
      <c r="B2621" t="s">
        <v>1771</v>
      </c>
    </row>
    <row r="2622" spans="1:2" x14ac:dyDescent="0.25">
      <c r="A2622" t="s">
        <v>602</v>
      </c>
      <c r="B2622" t="s">
        <v>1183</v>
      </c>
    </row>
    <row r="2623" spans="1:2" x14ac:dyDescent="0.25">
      <c r="A2623" t="s">
        <v>616</v>
      </c>
      <c r="B2623" t="s">
        <v>1183</v>
      </c>
    </row>
    <row r="2624" spans="1:2" x14ac:dyDescent="0.25">
      <c r="A2624" t="s">
        <v>628</v>
      </c>
      <c r="B2624" t="s">
        <v>1183</v>
      </c>
    </row>
    <row r="2625" spans="1:2" x14ac:dyDescent="0.25">
      <c r="A2625" t="s">
        <v>633</v>
      </c>
      <c r="B2625" t="s">
        <v>1183</v>
      </c>
    </row>
    <row r="2626" spans="1:2" x14ac:dyDescent="0.25">
      <c r="A2626" t="s">
        <v>630</v>
      </c>
      <c r="B2626" t="s">
        <v>2456</v>
      </c>
    </row>
    <row r="2627" spans="1:2" x14ac:dyDescent="0.25">
      <c r="A2627" t="s">
        <v>607</v>
      </c>
      <c r="B2627" t="s">
        <v>56</v>
      </c>
    </row>
    <row r="2628" spans="1:2" x14ac:dyDescent="0.25">
      <c r="A2628" t="s">
        <v>606</v>
      </c>
      <c r="B2628" t="s">
        <v>1362</v>
      </c>
    </row>
    <row r="2629" spans="1:2" x14ac:dyDescent="0.25">
      <c r="A2629" t="s">
        <v>610</v>
      </c>
      <c r="B2629" t="s">
        <v>1362</v>
      </c>
    </row>
    <row r="2630" spans="1:2" x14ac:dyDescent="0.25">
      <c r="A2630" t="s">
        <v>629</v>
      </c>
      <c r="B2630" t="s">
        <v>190</v>
      </c>
    </row>
    <row r="2631" spans="1:2" x14ac:dyDescent="0.25">
      <c r="A2631" t="s">
        <v>2808</v>
      </c>
      <c r="B2631" t="s">
        <v>2805</v>
      </c>
    </row>
    <row r="2632" spans="1:2" x14ac:dyDescent="0.25">
      <c r="A2632" t="s">
        <v>607</v>
      </c>
      <c r="B2632" t="s">
        <v>1455</v>
      </c>
    </row>
    <row r="2633" spans="1:2" x14ac:dyDescent="0.25">
      <c r="A2633" t="s">
        <v>614</v>
      </c>
      <c r="B2633" t="s">
        <v>1836</v>
      </c>
    </row>
    <row r="2634" spans="1:2" x14ac:dyDescent="0.25">
      <c r="A2634" t="s">
        <v>620</v>
      </c>
      <c r="B2634" t="s">
        <v>2181</v>
      </c>
    </row>
    <row r="2635" spans="1:2" x14ac:dyDescent="0.25">
      <c r="A2635" t="s">
        <v>609</v>
      </c>
      <c r="B2635" t="s">
        <v>1569</v>
      </c>
    </row>
    <row r="2636" spans="1:2" x14ac:dyDescent="0.25">
      <c r="A2636" t="s">
        <v>610</v>
      </c>
      <c r="B2636" t="s">
        <v>1656</v>
      </c>
    </row>
    <row r="2637" spans="1:2" x14ac:dyDescent="0.25">
      <c r="A2637" t="s">
        <v>606</v>
      </c>
      <c r="B2637" t="s">
        <v>1402</v>
      </c>
    </row>
    <row r="2638" spans="1:2" x14ac:dyDescent="0.25">
      <c r="A2638" t="s">
        <v>623</v>
      </c>
      <c r="B2638" t="s">
        <v>1402</v>
      </c>
    </row>
    <row r="2639" spans="1:2" x14ac:dyDescent="0.25">
      <c r="A2639" t="s">
        <v>631</v>
      </c>
      <c r="B2639" t="s">
        <v>2530</v>
      </c>
    </row>
    <row r="2640" spans="1:2" x14ac:dyDescent="0.25">
      <c r="A2640" t="s">
        <v>1012</v>
      </c>
      <c r="B2640" t="s">
        <v>1608</v>
      </c>
    </row>
    <row r="2641" spans="1:2" x14ac:dyDescent="0.25">
      <c r="A2641" t="s">
        <v>628</v>
      </c>
      <c r="B2641" t="s">
        <v>1608</v>
      </c>
    </row>
    <row r="2642" spans="1:2" x14ac:dyDescent="0.25">
      <c r="A2642" t="s">
        <v>632</v>
      </c>
      <c r="B2642" t="s">
        <v>1608</v>
      </c>
    </row>
    <row r="2643" spans="1:2" x14ac:dyDescent="0.25">
      <c r="A2643" t="s">
        <v>635</v>
      </c>
      <c r="B2643" t="s">
        <v>1955</v>
      </c>
    </row>
    <row r="2644" spans="1:2" x14ac:dyDescent="0.25">
      <c r="A2644" t="s">
        <v>831</v>
      </c>
      <c r="B2644" t="s">
        <v>1759</v>
      </c>
    </row>
    <row r="2645" spans="1:2" x14ac:dyDescent="0.25">
      <c r="A2645" t="s">
        <v>601</v>
      </c>
      <c r="B2645" t="s">
        <v>1115</v>
      </c>
    </row>
    <row r="2646" spans="1:2" x14ac:dyDescent="0.25">
      <c r="A2646" t="s">
        <v>619</v>
      </c>
      <c r="B2646" t="s">
        <v>1115</v>
      </c>
    </row>
    <row r="2647" spans="1:2" x14ac:dyDescent="0.25">
      <c r="A2647" t="s">
        <v>628</v>
      </c>
      <c r="B2647" t="s">
        <v>1115</v>
      </c>
    </row>
    <row r="2648" spans="1:2" x14ac:dyDescent="0.25">
      <c r="A2648" t="s">
        <v>632</v>
      </c>
      <c r="B2648" t="s">
        <v>2714</v>
      </c>
    </row>
    <row r="2649" spans="1:2" x14ac:dyDescent="0.25">
      <c r="A2649" t="s">
        <v>1012</v>
      </c>
      <c r="B2649" t="s">
        <v>1948</v>
      </c>
    </row>
    <row r="2650" spans="1:2" x14ac:dyDescent="0.25">
      <c r="A2650" t="s">
        <v>630</v>
      </c>
      <c r="B2650" t="s">
        <v>2487</v>
      </c>
    </row>
    <row r="2651" spans="1:2" x14ac:dyDescent="0.25">
      <c r="A2651" t="s">
        <v>635</v>
      </c>
      <c r="B2651" t="s">
        <v>1985</v>
      </c>
    </row>
    <row r="2652" spans="1:2" x14ac:dyDescent="0.25">
      <c r="A2652" t="s">
        <v>915</v>
      </c>
      <c r="B2652" t="s">
        <v>2145</v>
      </c>
    </row>
    <row r="2653" spans="1:2" x14ac:dyDescent="0.25">
      <c r="A2653" t="s">
        <v>607</v>
      </c>
      <c r="B2653" t="s">
        <v>1451</v>
      </c>
    </row>
    <row r="2654" spans="1:2" x14ac:dyDescent="0.25">
      <c r="A2654" t="s">
        <v>605</v>
      </c>
      <c r="B2654" t="s">
        <v>1322</v>
      </c>
    </row>
    <row r="2655" spans="1:2" x14ac:dyDescent="0.25">
      <c r="A2655" t="s">
        <v>618</v>
      </c>
      <c r="B2655" t="s">
        <v>1322</v>
      </c>
    </row>
    <row r="2656" spans="1:2" x14ac:dyDescent="0.25">
      <c r="A2656" t="s">
        <v>604</v>
      </c>
      <c r="B2656" t="s">
        <v>1314</v>
      </c>
    </row>
    <row r="2657" spans="1:2" x14ac:dyDescent="0.25">
      <c r="A2657" t="s">
        <v>831</v>
      </c>
      <c r="B2657" t="s">
        <v>1314</v>
      </c>
    </row>
    <row r="2658" spans="1:2" x14ac:dyDescent="0.25">
      <c r="A2658" t="s">
        <v>628</v>
      </c>
      <c r="B2658" t="s">
        <v>2416</v>
      </c>
    </row>
    <row r="2659" spans="1:2" x14ac:dyDescent="0.25">
      <c r="A2659" t="s">
        <v>611</v>
      </c>
      <c r="B2659" t="s">
        <v>1681</v>
      </c>
    </row>
    <row r="2660" spans="1:2" x14ac:dyDescent="0.25">
      <c r="A2660" t="s">
        <v>612</v>
      </c>
      <c r="B2660" t="s">
        <v>1681</v>
      </c>
    </row>
    <row r="2661" spans="1:2" x14ac:dyDescent="0.25">
      <c r="A2661" t="s">
        <v>831</v>
      </c>
      <c r="B2661" t="s">
        <v>1752</v>
      </c>
    </row>
    <row r="2662" spans="1:2" x14ac:dyDescent="0.25">
      <c r="A2662" t="s">
        <v>631</v>
      </c>
      <c r="B2662" t="s">
        <v>2504</v>
      </c>
    </row>
    <row r="2663" spans="1:2" x14ac:dyDescent="0.25">
      <c r="A2663" t="s">
        <v>953</v>
      </c>
      <c r="B2663" t="s">
        <v>1000</v>
      </c>
    </row>
    <row r="2664" spans="1:2" x14ac:dyDescent="0.25">
      <c r="A2664" t="s">
        <v>615</v>
      </c>
      <c r="B2664" t="s">
        <v>1900</v>
      </c>
    </row>
    <row r="2665" spans="1:2" x14ac:dyDescent="0.25">
      <c r="A2665" t="s">
        <v>617</v>
      </c>
      <c r="B2665" t="s">
        <v>1900</v>
      </c>
    </row>
    <row r="2666" spans="1:2" x14ac:dyDescent="0.25">
      <c r="A2666" t="s">
        <v>627</v>
      </c>
      <c r="B2666" t="s">
        <v>2369</v>
      </c>
    </row>
    <row r="2667" spans="1:2" x14ac:dyDescent="0.25">
      <c r="A2667" t="s">
        <v>623</v>
      </c>
      <c r="B2667" t="s">
        <v>2267</v>
      </c>
    </row>
    <row r="2668" spans="1:2" x14ac:dyDescent="0.25">
      <c r="A2668" t="s">
        <v>1045</v>
      </c>
      <c r="B2668" t="s">
        <v>1101</v>
      </c>
    </row>
    <row r="2669" spans="1:2" x14ac:dyDescent="0.25">
      <c r="A2669" t="s">
        <v>953</v>
      </c>
      <c r="B2669" t="s">
        <v>993</v>
      </c>
    </row>
    <row r="2670" spans="1:2" x14ac:dyDescent="0.25">
      <c r="A2670" t="s">
        <v>630</v>
      </c>
      <c r="B2670" t="s">
        <v>2482</v>
      </c>
    </row>
    <row r="2671" spans="1:2" x14ac:dyDescent="0.25">
      <c r="A2671" t="s">
        <v>619</v>
      </c>
      <c r="B2671" t="s">
        <v>2131</v>
      </c>
    </row>
    <row r="2672" spans="1:2" x14ac:dyDescent="0.25">
      <c r="A2672" t="s">
        <v>624</v>
      </c>
      <c r="B2672" t="s">
        <v>2354</v>
      </c>
    </row>
    <row r="2673" spans="1:2" x14ac:dyDescent="0.25">
      <c r="A2673" t="s">
        <v>604</v>
      </c>
      <c r="B2673" t="s">
        <v>1289</v>
      </c>
    </row>
    <row r="2674" spans="1:2" x14ac:dyDescent="0.25">
      <c r="A2674" t="s">
        <v>604</v>
      </c>
      <c r="B2674" t="s">
        <v>1267</v>
      </c>
    </row>
    <row r="2675" spans="1:2" x14ac:dyDescent="0.25">
      <c r="A2675" t="s">
        <v>604</v>
      </c>
      <c r="B2675" t="s">
        <v>1283</v>
      </c>
    </row>
    <row r="2676" spans="1:2" x14ac:dyDescent="0.25">
      <c r="A2676" t="s">
        <v>604</v>
      </c>
      <c r="B2676" t="s">
        <v>1291</v>
      </c>
    </row>
    <row r="2677" spans="1:2" x14ac:dyDescent="0.25">
      <c r="A2677" t="s">
        <v>604</v>
      </c>
      <c r="B2677" t="s">
        <v>1274</v>
      </c>
    </row>
    <row r="2678" spans="1:2" x14ac:dyDescent="0.25">
      <c r="A2678" t="s">
        <v>2808</v>
      </c>
      <c r="B2678" t="s">
        <v>689</v>
      </c>
    </row>
    <row r="2679" spans="1:2" x14ac:dyDescent="0.25">
      <c r="A2679" t="s">
        <v>604</v>
      </c>
      <c r="B2679" t="s">
        <v>1269</v>
      </c>
    </row>
    <row r="2680" spans="1:2" x14ac:dyDescent="0.25">
      <c r="A2680" t="s">
        <v>604</v>
      </c>
      <c r="B2680" t="s">
        <v>1285</v>
      </c>
    </row>
    <row r="2681" spans="1:2" x14ac:dyDescent="0.25">
      <c r="A2681" t="s">
        <v>633</v>
      </c>
      <c r="B2681" t="s">
        <v>2584</v>
      </c>
    </row>
    <row r="2682" spans="1:2" x14ac:dyDescent="0.25">
      <c r="A2682" t="s">
        <v>609</v>
      </c>
      <c r="B2682" t="s">
        <v>1565</v>
      </c>
    </row>
    <row r="2683" spans="1:2" x14ac:dyDescent="0.25">
      <c r="A2683" t="s">
        <v>2808</v>
      </c>
      <c r="B2683" t="s">
        <v>2310</v>
      </c>
    </row>
    <row r="2684" spans="1:2" x14ac:dyDescent="0.25">
      <c r="A2684" t="s">
        <v>624</v>
      </c>
      <c r="B2684" t="s">
        <v>2351</v>
      </c>
    </row>
    <row r="2685" spans="1:2" x14ac:dyDescent="0.25">
      <c r="A2685" t="s">
        <v>619</v>
      </c>
      <c r="B2685" t="s">
        <v>2103</v>
      </c>
    </row>
    <row r="2686" spans="1:2" x14ac:dyDescent="0.25">
      <c r="A2686" t="s">
        <v>618</v>
      </c>
      <c r="B2686" t="s">
        <v>900</v>
      </c>
    </row>
    <row r="2687" spans="1:2" x14ac:dyDescent="0.25">
      <c r="A2687" t="s">
        <v>635</v>
      </c>
      <c r="B2687" t="s">
        <v>1978</v>
      </c>
    </row>
    <row r="2688" spans="1:2" x14ac:dyDescent="0.25">
      <c r="A2688" t="s">
        <v>610</v>
      </c>
      <c r="B2688" t="s">
        <v>1642</v>
      </c>
    </row>
    <row r="2689" spans="1:2" x14ac:dyDescent="0.25">
      <c r="A2689" t="s">
        <v>614</v>
      </c>
      <c r="B2689" t="s">
        <v>107</v>
      </c>
    </row>
    <row r="2690" spans="1:2" x14ac:dyDescent="0.25">
      <c r="A2690" t="s">
        <v>629</v>
      </c>
      <c r="B2690" t="s">
        <v>107</v>
      </c>
    </row>
    <row r="2691" spans="1:2" x14ac:dyDescent="0.25">
      <c r="A2691" t="s">
        <v>603</v>
      </c>
      <c r="B2691" t="s">
        <v>1221</v>
      </c>
    </row>
    <row r="2692" spans="1:2" x14ac:dyDescent="0.25">
      <c r="A2692" t="s">
        <v>606</v>
      </c>
      <c r="B2692" t="s">
        <v>1221</v>
      </c>
    </row>
    <row r="2693" spans="1:2" x14ac:dyDescent="0.25">
      <c r="A2693" t="s">
        <v>616</v>
      </c>
      <c r="B2693" t="s">
        <v>1221</v>
      </c>
    </row>
    <row r="2694" spans="1:2" x14ac:dyDescent="0.25">
      <c r="A2694" t="s">
        <v>628</v>
      </c>
      <c r="B2694" t="s">
        <v>63</v>
      </c>
    </row>
    <row r="2695" spans="1:2" x14ac:dyDescent="0.25">
      <c r="A2695" t="s">
        <v>632</v>
      </c>
      <c r="B2695" t="s">
        <v>63</v>
      </c>
    </row>
    <row r="2696" spans="1:2" x14ac:dyDescent="0.25">
      <c r="A2696" t="s">
        <v>604</v>
      </c>
      <c r="B2696" t="s">
        <v>1299</v>
      </c>
    </row>
    <row r="2697" spans="1:2" x14ac:dyDescent="0.25">
      <c r="A2697" t="s">
        <v>606</v>
      </c>
      <c r="B2697" t="s">
        <v>1395</v>
      </c>
    </row>
    <row r="2698" spans="1:2" x14ac:dyDescent="0.25">
      <c r="A2698" t="s">
        <v>604</v>
      </c>
      <c r="B2698" t="s">
        <v>1279</v>
      </c>
    </row>
    <row r="2699" spans="1:2" x14ac:dyDescent="0.25">
      <c r="A2699" t="s">
        <v>915</v>
      </c>
      <c r="B2699" t="s">
        <v>2142</v>
      </c>
    </row>
    <row r="2700" spans="1:2" x14ac:dyDescent="0.25">
      <c r="A2700" t="s">
        <v>616</v>
      </c>
      <c r="B2700" t="s">
        <v>468</v>
      </c>
    </row>
    <row r="2701" spans="1:2" x14ac:dyDescent="0.25">
      <c r="A2701" t="s">
        <v>619</v>
      </c>
      <c r="B2701" t="s">
        <v>2121</v>
      </c>
    </row>
    <row r="2702" spans="1:2" x14ac:dyDescent="0.25">
      <c r="A2702" t="s">
        <v>1045</v>
      </c>
      <c r="B2702" t="s">
        <v>1110</v>
      </c>
    </row>
    <row r="2703" spans="1:2" x14ac:dyDescent="0.25">
      <c r="A2703" t="s">
        <v>608</v>
      </c>
      <c r="B2703" t="s">
        <v>1510</v>
      </c>
    </row>
    <row r="2704" spans="1:2" x14ac:dyDescent="0.25">
      <c r="A2704" t="s">
        <v>618</v>
      </c>
      <c r="B2704" t="s">
        <v>2027</v>
      </c>
    </row>
    <row r="2705" spans="1:2" x14ac:dyDescent="0.25">
      <c r="A2705" t="s">
        <v>603</v>
      </c>
      <c r="B2705" t="s">
        <v>919</v>
      </c>
    </row>
    <row r="2706" spans="1:2" x14ac:dyDescent="0.25">
      <c r="A2706" t="s">
        <v>618</v>
      </c>
      <c r="B2706" t="s">
        <v>919</v>
      </c>
    </row>
    <row r="2707" spans="1:2" x14ac:dyDescent="0.25">
      <c r="A2707" t="s">
        <v>612</v>
      </c>
      <c r="B2707" t="s">
        <v>1723</v>
      </c>
    </row>
    <row r="2708" spans="1:2" x14ac:dyDescent="0.25">
      <c r="A2708" t="s">
        <v>616</v>
      </c>
      <c r="B2708" t="s">
        <v>1723</v>
      </c>
    </row>
    <row r="2709" spans="1:2" x14ac:dyDescent="0.25">
      <c r="A2709" t="s">
        <v>611</v>
      </c>
      <c r="B2709" t="s">
        <v>755</v>
      </c>
    </row>
    <row r="2710" spans="1:2" x14ac:dyDescent="0.25">
      <c r="A2710" t="s">
        <v>612</v>
      </c>
      <c r="B2710" t="s">
        <v>755</v>
      </c>
    </row>
    <row r="2711" spans="1:2" x14ac:dyDescent="0.25">
      <c r="A2711" t="s">
        <v>624</v>
      </c>
      <c r="B2711" t="s">
        <v>2349</v>
      </c>
    </row>
    <row r="2712" spans="1:2" x14ac:dyDescent="0.25">
      <c r="A2712" t="s">
        <v>611</v>
      </c>
      <c r="B2712" t="s">
        <v>821</v>
      </c>
    </row>
    <row r="2713" spans="1:2" x14ac:dyDescent="0.25">
      <c r="A2713" t="s">
        <v>612</v>
      </c>
      <c r="B2713" t="s">
        <v>821</v>
      </c>
    </row>
    <row r="2714" spans="1:2" x14ac:dyDescent="0.25">
      <c r="A2714" t="s">
        <v>617</v>
      </c>
      <c r="B2714" t="s">
        <v>821</v>
      </c>
    </row>
    <row r="2715" spans="1:2" x14ac:dyDescent="0.25">
      <c r="A2715" t="s">
        <v>622</v>
      </c>
      <c r="B2715" t="s">
        <v>821</v>
      </c>
    </row>
    <row r="2716" spans="1:2" x14ac:dyDescent="0.25">
      <c r="A2716" t="s">
        <v>628</v>
      </c>
      <c r="B2716" t="s">
        <v>821</v>
      </c>
    </row>
    <row r="2717" spans="1:2" x14ac:dyDescent="0.25">
      <c r="A2717" t="s">
        <v>630</v>
      </c>
      <c r="B2717" t="s">
        <v>821</v>
      </c>
    </row>
    <row r="2718" spans="1:2" x14ac:dyDescent="0.25">
      <c r="A2718" t="s">
        <v>618</v>
      </c>
      <c r="B2718" t="s">
        <v>2055</v>
      </c>
    </row>
    <row r="2719" spans="1:2" x14ac:dyDescent="0.25">
      <c r="A2719" t="s">
        <v>622</v>
      </c>
      <c r="B2719" t="s">
        <v>2239</v>
      </c>
    </row>
    <row r="2720" spans="1:2" x14ac:dyDescent="0.25">
      <c r="A2720" t="s">
        <v>831</v>
      </c>
      <c r="B2720" t="s">
        <v>1765</v>
      </c>
    </row>
    <row r="2721" spans="1:2" x14ac:dyDescent="0.25">
      <c r="A2721" t="s">
        <v>617</v>
      </c>
      <c r="B2721" t="s">
        <v>2006</v>
      </c>
    </row>
    <row r="2722" spans="1:2" x14ac:dyDescent="0.25">
      <c r="A2722" t="s">
        <v>611</v>
      </c>
      <c r="B2722" t="s">
        <v>1693</v>
      </c>
    </row>
    <row r="2723" spans="1:2" x14ac:dyDescent="0.25">
      <c r="A2723" t="s">
        <v>612</v>
      </c>
      <c r="B2723" t="s">
        <v>1693</v>
      </c>
    </row>
    <row r="2724" spans="1:2" x14ac:dyDescent="0.25">
      <c r="A2724" t="s">
        <v>635</v>
      </c>
      <c r="B2724" t="s">
        <v>1972</v>
      </c>
    </row>
    <row r="2725" spans="1:2" x14ac:dyDescent="0.25">
      <c r="A2725" t="s">
        <v>635</v>
      </c>
      <c r="B2725" t="s">
        <v>1961</v>
      </c>
    </row>
    <row r="2726" spans="1:2" x14ac:dyDescent="0.25">
      <c r="A2726" t="s">
        <v>618</v>
      </c>
      <c r="B2726" t="s">
        <v>2047</v>
      </c>
    </row>
    <row r="2727" spans="1:2" x14ac:dyDescent="0.25">
      <c r="A2727" t="s">
        <v>632</v>
      </c>
      <c r="B2727" t="s">
        <v>2047</v>
      </c>
    </row>
    <row r="2728" spans="1:2" x14ac:dyDescent="0.25">
      <c r="A2728" t="s">
        <v>915</v>
      </c>
      <c r="B2728" t="s">
        <v>2139</v>
      </c>
    </row>
    <row r="2729" spans="1:2" x14ac:dyDescent="0.25">
      <c r="A2729" t="s">
        <v>619</v>
      </c>
      <c r="B2729" t="s">
        <v>2134</v>
      </c>
    </row>
    <row r="2730" spans="1:2" x14ac:dyDescent="0.25">
      <c r="A2730" t="s">
        <v>624</v>
      </c>
      <c r="B2730" t="s">
        <v>2341</v>
      </c>
    </row>
    <row r="2731" spans="1:2" x14ac:dyDescent="0.25">
      <c r="A2731" t="s">
        <v>605</v>
      </c>
      <c r="B2731" t="s">
        <v>1351</v>
      </c>
    </row>
    <row r="2732" spans="1:2" x14ac:dyDescent="0.25">
      <c r="A2732" t="s">
        <v>2808</v>
      </c>
      <c r="B2732" t="s">
        <v>2621</v>
      </c>
    </row>
    <row r="2733" spans="1:2" x14ac:dyDescent="0.25">
      <c r="A2733" t="s">
        <v>831</v>
      </c>
      <c r="B2733" t="s">
        <v>1746</v>
      </c>
    </row>
    <row r="2734" spans="1:2" x14ac:dyDescent="0.25">
      <c r="A2734" t="s">
        <v>604</v>
      </c>
      <c r="B2734" t="s">
        <v>1259</v>
      </c>
    </row>
    <row r="2735" spans="1:2" x14ac:dyDescent="0.25">
      <c r="A2735" t="s">
        <v>614</v>
      </c>
      <c r="B2735" t="s">
        <v>1844</v>
      </c>
    </row>
    <row r="2736" spans="1:2" x14ac:dyDescent="0.25">
      <c r="A2736" t="s">
        <v>616</v>
      </c>
      <c r="B2736" t="s">
        <v>1844</v>
      </c>
    </row>
    <row r="2737" spans="1:2" x14ac:dyDescent="0.25">
      <c r="A2737" t="s">
        <v>616</v>
      </c>
      <c r="B2737" t="s">
        <v>1915</v>
      </c>
    </row>
    <row r="2738" spans="1:2" x14ac:dyDescent="0.25">
      <c r="A2738" t="s">
        <v>601</v>
      </c>
      <c r="B2738" t="s">
        <v>1141</v>
      </c>
    </row>
    <row r="2739" spans="1:2" x14ac:dyDescent="0.25">
      <c r="A2739" t="s">
        <v>1045</v>
      </c>
      <c r="B2739" t="s">
        <v>2072</v>
      </c>
    </row>
    <row r="2740" spans="1:2" x14ac:dyDescent="0.25">
      <c r="A2740" t="s">
        <v>604</v>
      </c>
      <c r="B2740" t="s">
        <v>1300</v>
      </c>
    </row>
    <row r="2741" spans="1:2" x14ac:dyDescent="0.25">
      <c r="A2741" t="s">
        <v>609</v>
      </c>
      <c r="B2741" t="s">
        <v>1538</v>
      </c>
    </row>
    <row r="2742" spans="1:2" x14ac:dyDescent="0.25">
      <c r="A2742" t="s">
        <v>1012</v>
      </c>
      <c r="B2742" t="s">
        <v>1538</v>
      </c>
    </row>
    <row r="2743" spans="1:2" x14ac:dyDescent="0.25">
      <c r="A2743" t="s">
        <v>628</v>
      </c>
      <c r="B2743" t="s">
        <v>1538</v>
      </c>
    </row>
    <row r="2744" spans="1:2" x14ac:dyDescent="0.25">
      <c r="A2744" t="s">
        <v>632</v>
      </c>
      <c r="B2744" t="s">
        <v>1538</v>
      </c>
    </row>
    <row r="2745" spans="1:2" x14ac:dyDescent="0.25">
      <c r="A2745" t="s">
        <v>630</v>
      </c>
      <c r="B2745" t="s">
        <v>2471</v>
      </c>
    </row>
    <row r="2746" spans="1:2" x14ac:dyDescent="0.25">
      <c r="A2746" t="s">
        <v>609</v>
      </c>
      <c r="B2746" t="s">
        <v>1581</v>
      </c>
    </row>
    <row r="2747" spans="1:2" x14ac:dyDescent="0.25">
      <c r="A2747" t="s">
        <v>610</v>
      </c>
      <c r="B2747" t="s">
        <v>1650</v>
      </c>
    </row>
    <row r="2748" spans="1:2" x14ac:dyDescent="0.25">
      <c r="A2748" t="s">
        <v>608</v>
      </c>
      <c r="B2748" t="s">
        <v>1482</v>
      </c>
    </row>
    <row r="2749" spans="1:2" x14ac:dyDescent="0.25">
      <c r="A2749" t="s">
        <v>608</v>
      </c>
      <c r="B2749" t="s">
        <v>1466</v>
      </c>
    </row>
    <row r="2750" spans="1:2" x14ac:dyDescent="0.25">
      <c r="A2750" t="s">
        <v>608</v>
      </c>
      <c r="B2750" t="s">
        <v>1521</v>
      </c>
    </row>
    <row r="2751" spans="1:2" x14ac:dyDescent="0.25">
      <c r="A2751" t="s">
        <v>607</v>
      </c>
      <c r="B2751" t="s">
        <v>1418</v>
      </c>
    </row>
    <row r="2752" spans="1:2" x14ac:dyDescent="0.25">
      <c r="A2752" t="s">
        <v>610</v>
      </c>
      <c r="B2752" t="s">
        <v>1418</v>
      </c>
    </row>
    <row r="2753" spans="1:2" x14ac:dyDescent="0.25">
      <c r="A2753" t="s">
        <v>601</v>
      </c>
      <c r="B2753" t="s">
        <v>1149</v>
      </c>
    </row>
    <row r="2754" spans="1:2" x14ac:dyDescent="0.25">
      <c r="A2754" t="s">
        <v>915</v>
      </c>
      <c r="B2754" t="s">
        <v>2144</v>
      </c>
    </row>
    <row r="2755" spans="1:2" x14ac:dyDescent="0.25">
      <c r="A2755" t="s">
        <v>614</v>
      </c>
      <c r="B2755" t="s">
        <v>1830</v>
      </c>
    </row>
    <row r="2756" spans="1:2" x14ac:dyDescent="0.25">
      <c r="A2756" t="s">
        <v>605</v>
      </c>
      <c r="B2756" t="s">
        <v>600</v>
      </c>
    </row>
    <row r="2757" spans="1:2" x14ac:dyDescent="0.25">
      <c r="A2757" t="s">
        <v>614</v>
      </c>
      <c r="B2757" t="s">
        <v>600</v>
      </c>
    </row>
    <row r="2758" spans="1:2" x14ac:dyDescent="0.25">
      <c r="A2758" t="s">
        <v>633</v>
      </c>
      <c r="B2758" t="s">
        <v>2566</v>
      </c>
    </row>
    <row r="2759" spans="1:2" x14ac:dyDescent="0.25">
      <c r="A2759" t="s">
        <v>608</v>
      </c>
      <c r="B2759" t="s">
        <v>1485</v>
      </c>
    </row>
    <row r="2760" spans="1:2" x14ac:dyDescent="0.25">
      <c r="A2760" t="s">
        <v>613</v>
      </c>
      <c r="B2760" t="s">
        <v>1485</v>
      </c>
    </row>
    <row r="2761" spans="1:2" x14ac:dyDescent="0.25">
      <c r="A2761" t="s">
        <v>1012</v>
      </c>
      <c r="B2761" t="s">
        <v>1607</v>
      </c>
    </row>
    <row r="2762" spans="1:2" x14ac:dyDescent="0.25">
      <c r="A2762" t="s">
        <v>628</v>
      </c>
      <c r="B2762" t="s">
        <v>1607</v>
      </c>
    </row>
    <row r="2763" spans="1:2" x14ac:dyDescent="0.25">
      <c r="A2763" t="s">
        <v>632</v>
      </c>
      <c r="B2763" t="s">
        <v>1607</v>
      </c>
    </row>
    <row r="2764" spans="1:2" x14ac:dyDescent="0.25">
      <c r="A2764" t="s">
        <v>608</v>
      </c>
      <c r="B2764" t="s">
        <v>105</v>
      </c>
    </row>
    <row r="2765" spans="1:2" x14ac:dyDescent="0.25">
      <c r="A2765" t="s">
        <v>635</v>
      </c>
      <c r="B2765" t="s">
        <v>105</v>
      </c>
    </row>
    <row r="2766" spans="1:2" x14ac:dyDescent="0.25">
      <c r="A2766" t="s">
        <v>618</v>
      </c>
      <c r="B2766" t="s">
        <v>105</v>
      </c>
    </row>
    <row r="2767" spans="1:2" x14ac:dyDescent="0.25">
      <c r="A2767" t="s">
        <v>631</v>
      </c>
      <c r="B2767" t="s">
        <v>2510</v>
      </c>
    </row>
    <row r="2768" spans="1:2" x14ac:dyDescent="0.25">
      <c r="A2768" t="s">
        <v>611</v>
      </c>
      <c r="B2768" t="s">
        <v>1687</v>
      </c>
    </row>
    <row r="2769" spans="1:2" x14ac:dyDescent="0.25">
      <c r="A2769" t="s">
        <v>1012</v>
      </c>
      <c r="B2769" t="s">
        <v>1621</v>
      </c>
    </row>
    <row r="2770" spans="1:2" x14ac:dyDescent="0.25">
      <c r="A2770" t="s">
        <v>606</v>
      </c>
      <c r="B2770" t="s">
        <v>1385</v>
      </c>
    </row>
    <row r="2771" spans="1:2" x14ac:dyDescent="0.25">
      <c r="A2771" t="s">
        <v>631</v>
      </c>
      <c r="B2771" t="s">
        <v>713</v>
      </c>
    </row>
    <row r="2772" spans="1:2" x14ac:dyDescent="0.25">
      <c r="A2772" t="s">
        <v>602</v>
      </c>
      <c r="B2772" t="s">
        <v>1182</v>
      </c>
    </row>
    <row r="2773" spans="1:2" x14ac:dyDescent="0.25">
      <c r="A2773" t="s">
        <v>623</v>
      </c>
      <c r="B2773" t="s">
        <v>2276</v>
      </c>
    </row>
    <row r="2774" spans="1:2" x14ac:dyDescent="0.25">
      <c r="A2774" t="s">
        <v>609</v>
      </c>
      <c r="B2774" t="s">
        <v>1528</v>
      </c>
    </row>
    <row r="2775" spans="1:2" x14ac:dyDescent="0.25">
      <c r="A2775" t="s">
        <v>633</v>
      </c>
      <c r="B2775" t="s">
        <v>2565</v>
      </c>
    </row>
    <row r="2776" spans="1:2" x14ac:dyDescent="0.25">
      <c r="A2776" t="s">
        <v>619</v>
      </c>
      <c r="B2776" t="s">
        <v>2123</v>
      </c>
    </row>
    <row r="2777" spans="1:2" x14ac:dyDescent="0.25">
      <c r="A2777" t="s">
        <v>601</v>
      </c>
      <c r="B2777" t="s">
        <v>1266</v>
      </c>
    </row>
    <row r="2778" spans="1:2" x14ac:dyDescent="0.25">
      <c r="A2778" t="s">
        <v>604</v>
      </c>
      <c r="B2778" t="s">
        <v>1266</v>
      </c>
    </row>
    <row r="2779" spans="1:2" x14ac:dyDescent="0.25">
      <c r="A2779" t="s">
        <v>831</v>
      </c>
      <c r="B2779" t="s">
        <v>1266</v>
      </c>
    </row>
    <row r="2780" spans="1:2" x14ac:dyDescent="0.25">
      <c r="A2780" t="s">
        <v>627</v>
      </c>
      <c r="B2780" t="s">
        <v>2361</v>
      </c>
    </row>
    <row r="2781" spans="1:2" x14ac:dyDescent="0.25">
      <c r="A2781" t="s">
        <v>614</v>
      </c>
      <c r="B2781" t="s">
        <v>1827</v>
      </c>
    </row>
    <row r="2782" spans="1:2" x14ac:dyDescent="0.25">
      <c r="A2782" t="s">
        <v>831</v>
      </c>
      <c r="B2782" t="s">
        <v>1775</v>
      </c>
    </row>
    <row r="2783" spans="1:2" x14ac:dyDescent="0.25">
      <c r="A2783" t="s">
        <v>631</v>
      </c>
      <c r="B2783" t="s">
        <v>2505</v>
      </c>
    </row>
    <row r="2784" spans="1:2" x14ac:dyDescent="0.25">
      <c r="A2784" t="s">
        <v>608</v>
      </c>
      <c r="B2784" t="s">
        <v>1508</v>
      </c>
    </row>
    <row r="2785" spans="1:2" x14ac:dyDescent="0.25">
      <c r="A2785" t="s">
        <v>608</v>
      </c>
      <c r="B2785" t="s">
        <v>1501</v>
      </c>
    </row>
    <row r="2786" spans="1:2" x14ac:dyDescent="0.25">
      <c r="A2786" t="s">
        <v>629</v>
      </c>
      <c r="B2786" t="s">
        <v>2434</v>
      </c>
    </row>
    <row r="2787" spans="1:2" x14ac:dyDescent="0.25">
      <c r="A2787" t="s">
        <v>630</v>
      </c>
      <c r="B2787" t="s">
        <v>2449</v>
      </c>
    </row>
    <row r="2788" spans="1:2" x14ac:dyDescent="0.25">
      <c r="A2788" t="s">
        <v>627</v>
      </c>
      <c r="B2788" t="s">
        <v>2384</v>
      </c>
    </row>
    <row r="2789" spans="1:2" x14ac:dyDescent="0.25">
      <c r="A2789" t="s">
        <v>2808</v>
      </c>
      <c r="B2789" t="s">
        <v>2328</v>
      </c>
    </row>
    <row r="2790" spans="1:2" x14ac:dyDescent="0.25">
      <c r="A2790" t="s">
        <v>631</v>
      </c>
      <c r="B2790" t="s">
        <v>2495</v>
      </c>
    </row>
    <row r="2791" spans="1:2" x14ac:dyDescent="0.25">
      <c r="A2791" t="s">
        <v>615</v>
      </c>
      <c r="B2791" t="s">
        <v>1854</v>
      </c>
    </row>
    <row r="2792" spans="1:2" x14ac:dyDescent="0.25">
      <c r="A2792" t="s">
        <v>609</v>
      </c>
      <c r="B2792" t="s">
        <v>1529</v>
      </c>
    </row>
    <row r="2793" spans="1:2" x14ac:dyDescent="0.25">
      <c r="A2793" t="s">
        <v>632</v>
      </c>
      <c r="B2793" t="s">
        <v>2532</v>
      </c>
    </row>
    <row r="2794" spans="1:2" x14ac:dyDescent="0.25">
      <c r="A2794" t="s">
        <v>831</v>
      </c>
      <c r="B2794" t="s">
        <v>2540</v>
      </c>
    </row>
    <row r="2795" spans="1:2" x14ac:dyDescent="0.25">
      <c r="A2795" t="s">
        <v>602</v>
      </c>
      <c r="B2795" t="s">
        <v>1161</v>
      </c>
    </row>
    <row r="2796" spans="1:2" x14ac:dyDescent="0.25">
      <c r="A2796" t="s">
        <v>624</v>
      </c>
      <c r="B2796" t="s">
        <v>1161</v>
      </c>
    </row>
    <row r="2797" spans="1:2" x14ac:dyDescent="0.25">
      <c r="A2797" t="s">
        <v>831</v>
      </c>
      <c r="B2797" t="s">
        <v>1730</v>
      </c>
    </row>
    <row r="2798" spans="1:2" x14ac:dyDescent="0.25">
      <c r="A2798" t="s">
        <v>630</v>
      </c>
      <c r="B2798" t="s">
        <v>2451</v>
      </c>
    </row>
    <row r="2799" spans="1:2" x14ac:dyDescent="0.25">
      <c r="A2799" t="s">
        <v>633</v>
      </c>
      <c r="B2799" t="s">
        <v>2585</v>
      </c>
    </row>
    <row r="2800" spans="1:2" x14ac:dyDescent="0.25">
      <c r="A2800" t="s">
        <v>614</v>
      </c>
      <c r="B2800" t="s">
        <v>1820</v>
      </c>
    </row>
    <row r="2801" spans="1:2" x14ac:dyDescent="0.25">
      <c r="A2801" t="s">
        <v>614</v>
      </c>
      <c r="B2801" t="s">
        <v>1838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4BB4-6E42-43A6-9C76-A855595E8B09}">
  <dimension ref="A1:I25"/>
  <sheetViews>
    <sheetView workbookViewId="0">
      <selection activeCell="M23" sqref="M23"/>
    </sheetView>
  </sheetViews>
  <sheetFormatPr defaultRowHeight="15" x14ac:dyDescent="0.25"/>
  <cols>
    <col min="1" max="1" width="26.42578125" bestFit="1" customWidth="1"/>
    <col min="2" max="6" width="4.7109375" bestFit="1" customWidth="1"/>
    <col min="7" max="9" width="14.5703125" customWidth="1"/>
  </cols>
  <sheetData>
    <row r="1" spans="1:9" x14ac:dyDescent="0.25">
      <c r="A1" s="2" t="s">
        <v>223</v>
      </c>
      <c r="B1" s="16" t="s">
        <v>224</v>
      </c>
      <c r="C1" s="16"/>
      <c r="D1" s="16"/>
      <c r="E1" s="16"/>
      <c r="F1" s="16"/>
      <c r="G1" s="2" t="s">
        <v>225</v>
      </c>
      <c r="H1" s="2" t="s">
        <v>226</v>
      </c>
      <c r="I1" s="2" t="s">
        <v>227</v>
      </c>
    </row>
    <row r="2" spans="1:9" x14ac:dyDescent="0.25">
      <c r="A2" t="s">
        <v>228</v>
      </c>
      <c r="B2" s="1" t="s">
        <v>229</v>
      </c>
      <c r="C2" s="1" t="s">
        <v>229</v>
      </c>
      <c r="D2" s="1" t="s">
        <v>229</v>
      </c>
      <c r="E2" s="1" t="s">
        <v>229</v>
      </c>
      <c r="F2" s="1" t="s">
        <v>229</v>
      </c>
      <c r="G2" t="s">
        <v>230</v>
      </c>
      <c r="H2" s="3" t="s">
        <v>231</v>
      </c>
      <c r="I2" t="s">
        <v>232</v>
      </c>
    </row>
    <row r="3" spans="1:9" x14ac:dyDescent="0.25">
      <c r="A3" t="s">
        <v>233</v>
      </c>
      <c r="B3" s="1" t="s">
        <v>229</v>
      </c>
      <c r="C3" s="1" t="s">
        <v>229</v>
      </c>
      <c r="D3" s="1" t="s">
        <v>234</v>
      </c>
      <c r="E3" s="1" t="s">
        <v>229</v>
      </c>
      <c r="F3" s="1" t="s">
        <v>229</v>
      </c>
      <c r="G3" t="s">
        <v>235</v>
      </c>
      <c r="H3" s="3" t="s">
        <v>236</v>
      </c>
      <c r="I3" t="s">
        <v>237</v>
      </c>
    </row>
    <row r="4" spans="1:9" x14ac:dyDescent="0.25">
      <c r="A4" t="s">
        <v>238</v>
      </c>
      <c r="B4" s="1" t="s">
        <v>229</v>
      </c>
      <c r="C4" s="1" t="s">
        <v>229</v>
      </c>
      <c r="D4" s="1" t="s">
        <v>229</v>
      </c>
      <c r="E4" s="1" t="s">
        <v>229</v>
      </c>
      <c r="F4" s="1" t="s">
        <v>234</v>
      </c>
      <c r="G4" t="s">
        <v>239</v>
      </c>
      <c r="H4" s="3" t="s">
        <v>240</v>
      </c>
      <c r="I4" t="s">
        <v>241</v>
      </c>
    </row>
    <row r="5" spans="1:9" x14ac:dyDescent="0.25">
      <c r="A5" t="s">
        <v>242</v>
      </c>
      <c r="B5" s="1" t="s">
        <v>229</v>
      </c>
      <c r="C5" s="1" t="s">
        <v>229</v>
      </c>
      <c r="D5" s="1" t="s">
        <v>234</v>
      </c>
      <c r="E5" s="1" t="s">
        <v>229</v>
      </c>
      <c r="F5" s="1" t="s">
        <v>229</v>
      </c>
      <c r="G5" t="s">
        <v>235</v>
      </c>
      <c r="H5" s="3" t="s">
        <v>243</v>
      </c>
      <c r="I5" t="s">
        <v>244</v>
      </c>
    </row>
    <row r="6" spans="1:9" x14ac:dyDescent="0.25">
      <c r="A6" t="s">
        <v>245</v>
      </c>
      <c r="B6" s="1" t="s">
        <v>229</v>
      </c>
      <c r="C6" s="1" t="s">
        <v>229</v>
      </c>
      <c r="D6" s="1" t="s">
        <v>229</v>
      </c>
      <c r="E6" s="1" t="s">
        <v>234</v>
      </c>
      <c r="F6" s="1" t="s">
        <v>229</v>
      </c>
      <c r="G6" t="s">
        <v>235</v>
      </c>
      <c r="H6" s="3" t="s">
        <v>231</v>
      </c>
      <c r="I6" t="s">
        <v>246</v>
      </c>
    </row>
    <row r="7" spans="1:9" x14ac:dyDescent="0.25">
      <c r="A7" t="s">
        <v>247</v>
      </c>
      <c r="B7" s="1" t="s">
        <v>229</v>
      </c>
      <c r="C7" s="1" t="s">
        <v>229</v>
      </c>
      <c r="D7" s="1" t="s">
        <v>234</v>
      </c>
      <c r="E7" s="1" t="s">
        <v>229</v>
      </c>
      <c r="F7" s="1" t="s">
        <v>229</v>
      </c>
      <c r="G7" t="s">
        <v>248</v>
      </c>
      <c r="H7" s="3" t="s">
        <v>249</v>
      </c>
      <c r="I7" t="s">
        <v>250</v>
      </c>
    </row>
    <row r="8" spans="1:9" x14ac:dyDescent="0.25">
      <c r="A8" t="s">
        <v>251</v>
      </c>
      <c r="B8" s="1" t="s">
        <v>229</v>
      </c>
      <c r="C8" s="1" t="s">
        <v>234</v>
      </c>
      <c r="D8" s="1" t="s">
        <v>229</v>
      </c>
      <c r="E8" s="1" t="s">
        <v>229</v>
      </c>
      <c r="F8" s="1" t="s">
        <v>229</v>
      </c>
      <c r="G8" t="s">
        <v>248</v>
      </c>
      <c r="H8" s="3" t="s">
        <v>252</v>
      </c>
      <c r="I8" t="s">
        <v>253</v>
      </c>
    </row>
    <row r="9" spans="1:9" x14ac:dyDescent="0.25">
      <c r="A9" t="s">
        <v>254</v>
      </c>
      <c r="B9" s="1" t="s">
        <v>229</v>
      </c>
      <c r="C9" s="1" t="s">
        <v>229</v>
      </c>
      <c r="D9" s="1" t="s">
        <v>234</v>
      </c>
      <c r="E9" s="1" t="s">
        <v>229</v>
      </c>
      <c r="F9" s="1" t="s">
        <v>229</v>
      </c>
      <c r="G9" t="s">
        <v>239</v>
      </c>
      <c r="H9" s="3" t="s">
        <v>236</v>
      </c>
      <c r="I9" t="s">
        <v>246</v>
      </c>
    </row>
    <row r="10" spans="1:9" x14ac:dyDescent="0.25">
      <c r="A10" t="s">
        <v>255</v>
      </c>
      <c r="B10" s="1" t="s">
        <v>229</v>
      </c>
      <c r="C10" s="1" t="s">
        <v>229</v>
      </c>
      <c r="D10" s="1" t="s">
        <v>229</v>
      </c>
      <c r="E10" s="1" t="s">
        <v>229</v>
      </c>
      <c r="F10" s="1" t="s">
        <v>234</v>
      </c>
      <c r="G10" t="s">
        <v>239</v>
      </c>
      <c r="H10" s="3" t="s">
        <v>240</v>
      </c>
      <c r="I10" t="s">
        <v>237</v>
      </c>
    </row>
    <row r="11" spans="1:9" x14ac:dyDescent="0.25">
      <c r="A11" t="s">
        <v>256</v>
      </c>
      <c r="B11" s="1" t="s">
        <v>234</v>
      </c>
      <c r="C11" s="1" t="s">
        <v>229</v>
      </c>
      <c r="D11" s="1" t="s">
        <v>229</v>
      </c>
      <c r="E11" s="1" t="s">
        <v>229</v>
      </c>
      <c r="F11" s="1" t="s">
        <v>229</v>
      </c>
      <c r="G11" t="s">
        <v>248</v>
      </c>
      <c r="H11" s="3" t="s">
        <v>236</v>
      </c>
      <c r="I11" t="s">
        <v>257</v>
      </c>
    </row>
    <row r="12" spans="1:9" x14ac:dyDescent="0.25">
      <c r="A12" t="s">
        <v>258</v>
      </c>
      <c r="B12" s="1" t="s">
        <v>229</v>
      </c>
      <c r="C12" s="1" t="s">
        <v>229</v>
      </c>
      <c r="D12" s="1" t="s">
        <v>229</v>
      </c>
      <c r="E12" s="1" t="s">
        <v>229</v>
      </c>
      <c r="F12" s="1" t="s">
        <v>234</v>
      </c>
      <c r="G12" t="s">
        <v>237</v>
      </c>
      <c r="H12" s="3" t="s">
        <v>259</v>
      </c>
      <c r="I12" t="s">
        <v>246</v>
      </c>
    </row>
    <row r="13" spans="1:9" x14ac:dyDescent="0.25">
      <c r="A13" t="s">
        <v>260</v>
      </c>
      <c r="B13" s="1" t="s">
        <v>229</v>
      </c>
      <c r="C13" s="1" t="s">
        <v>234</v>
      </c>
      <c r="D13" s="1" t="s">
        <v>229</v>
      </c>
      <c r="E13" s="1" t="s">
        <v>229</v>
      </c>
      <c r="F13" s="1" t="s">
        <v>229</v>
      </c>
      <c r="G13" t="s">
        <v>235</v>
      </c>
      <c r="H13" s="3" t="s">
        <v>240</v>
      </c>
      <c r="I13" t="s">
        <v>232</v>
      </c>
    </row>
    <row r="14" spans="1:9" x14ac:dyDescent="0.25">
      <c r="A14" t="s">
        <v>261</v>
      </c>
      <c r="B14" s="1" t="s">
        <v>229</v>
      </c>
      <c r="C14" s="1" t="s">
        <v>229</v>
      </c>
      <c r="D14" s="1" t="s">
        <v>229</v>
      </c>
      <c r="E14" s="1" t="s">
        <v>229</v>
      </c>
      <c r="F14" s="1" t="s">
        <v>234</v>
      </c>
      <c r="G14" t="s">
        <v>248</v>
      </c>
      <c r="H14" s="3" t="s">
        <v>259</v>
      </c>
      <c r="I14" t="s">
        <v>246</v>
      </c>
    </row>
    <row r="15" spans="1:9" x14ac:dyDescent="0.25">
      <c r="A15" t="s">
        <v>262</v>
      </c>
      <c r="B15" s="1" t="s">
        <v>229</v>
      </c>
      <c r="C15" s="1" t="s">
        <v>229</v>
      </c>
      <c r="D15" s="1" t="s">
        <v>229</v>
      </c>
      <c r="E15" s="1" t="s">
        <v>229</v>
      </c>
      <c r="F15" s="1" t="s">
        <v>234</v>
      </c>
      <c r="G15" t="s">
        <v>230</v>
      </c>
      <c r="H15" s="3" t="s">
        <v>240</v>
      </c>
      <c r="I15" t="s">
        <v>246</v>
      </c>
    </row>
    <row r="16" spans="1:9" x14ac:dyDescent="0.25">
      <c r="A16" t="s">
        <v>263</v>
      </c>
      <c r="B16" s="1" t="s">
        <v>234</v>
      </c>
      <c r="C16" s="1" t="s">
        <v>229</v>
      </c>
      <c r="D16" s="1" t="s">
        <v>229</v>
      </c>
      <c r="E16" s="1" t="s">
        <v>229</v>
      </c>
      <c r="F16" s="1" t="s">
        <v>229</v>
      </c>
      <c r="G16" t="s">
        <v>235</v>
      </c>
      <c r="H16" s="3" t="s">
        <v>231</v>
      </c>
      <c r="I16" t="s">
        <v>246</v>
      </c>
    </row>
    <row r="17" spans="1:9" x14ac:dyDescent="0.25">
      <c r="A17" t="s">
        <v>264</v>
      </c>
      <c r="B17" s="1" t="s">
        <v>229</v>
      </c>
      <c r="C17" s="1" t="s">
        <v>229</v>
      </c>
      <c r="D17" s="1" t="s">
        <v>229</v>
      </c>
      <c r="E17" s="1" t="s">
        <v>234</v>
      </c>
      <c r="F17" s="1" t="s">
        <v>229</v>
      </c>
      <c r="G17" t="s">
        <v>235</v>
      </c>
      <c r="H17" s="3" t="s">
        <v>265</v>
      </c>
      <c r="I17" t="s">
        <v>246</v>
      </c>
    </row>
    <row r="18" spans="1:9" x14ac:dyDescent="0.25">
      <c r="A18" t="s">
        <v>266</v>
      </c>
      <c r="B18" s="1" t="s">
        <v>229</v>
      </c>
      <c r="C18" s="1" t="s">
        <v>229</v>
      </c>
      <c r="D18" s="1" t="s">
        <v>229</v>
      </c>
      <c r="E18" s="1" t="s">
        <v>229</v>
      </c>
      <c r="F18" s="1" t="s">
        <v>234</v>
      </c>
      <c r="G18" t="s">
        <v>267</v>
      </c>
      <c r="H18" s="3" t="s">
        <v>268</v>
      </c>
      <c r="I18" t="s">
        <v>246</v>
      </c>
    </row>
    <row r="19" spans="1:9" x14ac:dyDescent="0.25">
      <c r="A19" t="s">
        <v>269</v>
      </c>
      <c r="B19" s="1" t="s">
        <v>229</v>
      </c>
      <c r="C19" s="1" t="s">
        <v>229</v>
      </c>
      <c r="D19" s="1" t="s">
        <v>229</v>
      </c>
      <c r="E19" s="1" t="s">
        <v>234</v>
      </c>
      <c r="F19" s="1" t="s">
        <v>229</v>
      </c>
      <c r="G19" t="s">
        <v>267</v>
      </c>
      <c r="H19" s="3" t="s">
        <v>270</v>
      </c>
      <c r="I19" t="s">
        <v>271</v>
      </c>
    </row>
    <row r="20" spans="1:9" x14ac:dyDescent="0.25">
      <c r="A20" t="s">
        <v>272</v>
      </c>
      <c r="B20" s="1" t="s">
        <v>229</v>
      </c>
      <c r="C20" s="1" t="s">
        <v>229</v>
      </c>
      <c r="D20" s="1" t="s">
        <v>229</v>
      </c>
      <c r="E20" s="1" t="s">
        <v>229</v>
      </c>
      <c r="F20" s="1" t="s">
        <v>229</v>
      </c>
      <c r="G20" t="s">
        <v>230</v>
      </c>
      <c r="H20" s="3" t="s">
        <v>259</v>
      </c>
      <c r="I20" t="s">
        <v>273</v>
      </c>
    </row>
    <row r="21" spans="1:9" x14ac:dyDescent="0.25">
      <c r="A21" t="s">
        <v>274</v>
      </c>
      <c r="B21" s="1" t="s">
        <v>229</v>
      </c>
      <c r="C21" s="1" t="s">
        <v>229</v>
      </c>
      <c r="D21" s="1" t="s">
        <v>229</v>
      </c>
      <c r="E21" s="1" t="s">
        <v>229</v>
      </c>
      <c r="F21" s="1" t="s">
        <v>234</v>
      </c>
      <c r="G21" t="s">
        <v>248</v>
      </c>
      <c r="H21" s="3" t="s">
        <v>275</v>
      </c>
      <c r="I21" t="s">
        <v>276</v>
      </c>
    </row>
    <row r="22" spans="1:9" x14ac:dyDescent="0.25">
      <c r="A22" t="s">
        <v>277</v>
      </c>
      <c r="B22" s="1" t="s">
        <v>229</v>
      </c>
      <c r="C22" s="1" t="s">
        <v>229</v>
      </c>
      <c r="D22" s="1" t="s">
        <v>234</v>
      </c>
      <c r="E22" s="1" t="s">
        <v>229</v>
      </c>
      <c r="F22" s="1" t="s">
        <v>229</v>
      </c>
      <c r="G22" t="s">
        <v>235</v>
      </c>
      <c r="H22" s="3" t="s">
        <v>231</v>
      </c>
      <c r="I22" t="s">
        <v>246</v>
      </c>
    </row>
    <row r="23" spans="1:9" x14ac:dyDescent="0.25">
      <c r="A23" t="s">
        <v>278</v>
      </c>
      <c r="B23" s="1" t="s">
        <v>229</v>
      </c>
      <c r="C23" s="1" t="s">
        <v>229</v>
      </c>
      <c r="D23" s="1" t="s">
        <v>229</v>
      </c>
      <c r="E23" s="1" t="s">
        <v>234</v>
      </c>
      <c r="F23" s="1" t="s">
        <v>234</v>
      </c>
      <c r="G23" t="s">
        <v>267</v>
      </c>
      <c r="H23" s="3" t="s">
        <v>275</v>
      </c>
      <c r="I23" t="s">
        <v>246</v>
      </c>
    </row>
    <row r="24" spans="1:9" x14ac:dyDescent="0.25">
      <c r="A24" t="s">
        <v>279</v>
      </c>
      <c r="B24" s="1" t="s">
        <v>229</v>
      </c>
      <c r="C24" s="1" t="s">
        <v>234</v>
      </c>
      <c r="D24" s="1" t="s">
        <v>234</v>
      </c>
      <c r="E24" s="1" t="s">
        <v>234</v>
      </c>
      <c r="F24" s="1" t="s">
        <v>229</v>
      </c>
      <c r="G24" t="s">
        <v>267</v>
      </c>
      <c r="H24" s="3" t="s">
        <v>280</v>
      </c>
      <c r="I24" t="s">
        <v>281</v>
      </c>
    </row>
    <row r="25" spans="1:9" x14ac:dyDescent="0.25">
      <c r="A25" t="s">
        <v>282</v>
      </c>
      <c r="B25" s="1" t="s">
        <v>229</v>
      </c>
      <c r="C25" s="1" t="s">
        <v>229</v>
      </c>
      <c r="D25" s="1" t="s">
        <v>234</v>
      </c>
      <c r="E25" s="1" t="s">
        <v>234</v>
      </c>
      <c r="F25" s="1" t="s">
        <v>229</v>
      </c>
      <c r="G25" t="s">
        <v>267</v>
      </c>
      <c r="H25" s="3" t="s">
        <v>280</v>
      </c>
      <c r="I25" t="s">
        <v>283</v>
      </c>
    </row>
  </sheetData>
  <mergeCells count="1">
    <mergeCell ref="B1:F1"/>
  </mergeCells>
  <conditionalFormatting sqref="B1:B25">
    <cfRule type="containsText" dxfId="12" priority="6" operator="containsText" text="Sim">
      <formula>NOT(ISERROR(SEARCH("Sim",B1)))</formula>
    </cfRule>
  </conditionalFormatting>
  <conditionalFormatting sqref="B1:F25 H5">
    <cfRule type="containsText" dxfId="11" priority="1" operator="containsText" text="Não">
      <formula>NOT(ISERROR(SEARCH("Não",B1)))</formula>
    </cfRule>
  </conditionalFormatting>
  <conditionalFormatting sqref="B2:F25 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25">
    <cfRule type="containsText" dxfId="10" priority="5" operator="containsText" text="Sim">
      <formula>NOT(ISERROR(SEARCH("Sim",C1)))</formula>
    </cfRule>
  </conditionalFormatting>
  <conditionalFormatting sqref="D1:D25">
    <cfRule type="containsText" dxfId="9" priority="2" operator="containsText" text="Sim">
      <formula>NOT(ISERROR(SEARCH("Sim",D1)))</formula>
    </cfRule>
  </conditionalFormatting>
  <conditionalFormatting sqref="E1:E25">
    <cfRule type="containsText" dxfId="8" priority="3" operator="containsText" text="Sim">
      <formula>NOT(ISERROR(SEARCH("Sim",E1)))</formula>
    </cfRule>
  </conditionalFormatting>
  <conditionalFormatting sqref="F1:F25 H5">
    <cfRule type="containsText" dxfId="7" priority="4" operator="containsText" text="Sim">
      <formula>NOT(ISERROR(SEARCH("Sim",F1)))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C3E6-77A1-43B5-A0F2-FAC464AF8E7A}">
  <dimension ref="A1:AS144"/>
  <sheetViews>
    <sheetView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M30" sqref="M30"/>
    </sheetView>
  </sheetViews>
  <sheetFormatPr defaultRowHeight="15" x14ac:dyDescent="0.25"/>
  <cols>
    <col min="1" max="1" width="25.85546875" bestFit="1" customWidth="1"/>
    <col min="2" max="2" width="12.5703125" bestFit="1" customWidth="1"/>
    <col min="3" max="3" width="9.28515625" bestFit="1" customWidth="1"/>
    <col min="5" max="6" width="12" customWidth="1"/>
    <col min="9" max="9" width="16.5703125" bestFit="1" customWidth="1"/>
    <col min="10" max="11" width="11.28515625" customWidth="1"/>
    <col min="13" max="22" width="9.140625" customWidth="1"/>
    <col min="25" max="26" width="9.140625" customWidth="1"/>
    <col min="29" max="30" width="9.140625" customWidth="1"/>
    <col min="32" max="32" width="9.140625" customWidth="1"/>
    <col min="34" max="44" width="9.140625" customWidth="1"/>
  </cols>
  <sheetData>
    <row r="1" spans="1:45" x14ac:dyDescent="0.25">
      <c r="A1" s="4" t="s">
        <v>284</v>
      </c>
      <c r="B1" s="4" t="s">
        <v>225</v>
      </c>
      <c r="C1" s="4" t="s">
        <v>285</v>
      </c>
      <c r="D1" s="4" t="s">
        <v>286</v>
      </c>
      <c r="E1" s="4" t="s">
        <v>287</v>
      </c>
      <c r="F1" s="4" t="s">
        <v>288</v>
      </c>
      <c r="G1" s="4" t="s">
        <v>289</v>
      </c>
      <c r="H1" s="4" t="s">
        <v>289</v>
      </c>
      <c r="I1" s="4" t="s">
        <v>290</v>
      </c>
      <c r="J1" s="4" t="s">
        <v>291</v>
      </c>
      <c r="K1" s="4" t="s">
        <v>292</v>
      </c>
      <c r="L1" s="4" t="s">
        <v>293</v>
      </c>
      <c r="M1" s="4" t="s">
        <v>294</v>
      </c>
      <c r="N1" s="4" t="s">
        <v>295</v>
      </c>
      <c r="O1" s="4" t="s">
        <v>296</v>
      </c>
      <c r="P1" s="4" t="s">
        <v>297</v>
      </c>
      <c r="Q1" s="4" t="s">
        <v>298</v>
      </c>
      <c r="R1" s="4" t="s">
        <v>299</v>
      </c>
      <c r="S1" s="4" t="s">
        <v>300</v>
      </c>
      <c r="T1" s="4" t="s">
        <v>301</v>
      </c>
      <c r="U1" s="4" t="s">
        <v>302</v>
      </c>
      <c r="V1" s="4" t="s">
        <v>303</v>
      </c>
      <c r="W1" s="4" t="s">
        <v>304</v>
      </c>
      <c r="X1" s="4" t="s">
        <v>305</v>
      </c>
      <c r="Y1" s="4" t="s">
        <v>306</v>
      </c>
      <c r="Z1" s="4" t="s">
        <v>307</v>
      </c>
      <c r="AA1" s="4" t="s">
        <v>308</v>
      </c>
      <c r="AB1" s="4" t="s">
        <v>309</v>
      </c>
      <c r="AC1" s="4" t="s">
        <v>310</v>
      </c>
      <c r="AD1" s="4" t="s">
        <v>311</v>
      </c>
      <c r="AE1" s="4" t="s">
        <v>312</v>
      </c>
      <c r="AF1" s="4" t="s">
        <v>313</v>
      </c>
      <c r="AG1" s="4" t="s">
        <v>314</v>
      </c>
      <c r="AH1" s="4" t="s">
        <v>315</v>
      </c>
      <c r="AI1" s="4" t="s">
        <v>316</v>
      </c>
      <c r="AJ1" s="4" t="s">
        <v>317</v>
      </c>
      <c r="AK1" s="4" t="s">
        <v>318</v>
      </c>
      <c r="AL1" s="4" t="s">
        <v>319</v>
      </c>
      <c r="AM1" s="4" t="s">
        <v>320</v>
      </c>
      <c r="AN1" s="4" t="s">
        <v>321</v>
      </c>
      <c r="AO1" s="4" t="s">
        <v>322</v>
      </c>
      <c r="AP1" s="4" t="s">
        <v>323</v>
      </c>
      <c r="AQ1" s="4" t="s">
        <v>324</v>
      </c>
      <c r="AR1" s="4" t="s">
        <v>325</v>
      </c>
      <c r="AS1" s="4" t="s">
        <v>326</v>
      </c>
    </row>
    <row r="2" spans="1:45" x14ac:dyDescent="0.25">
      <c r="A2" s="4" t="s">
        <v>328</v>
      </c>
      <c r="B2" s="4" t="s">
        <v>327</v>
      </c>
      <c r="C2" s="4" t="s">
        <v>329</v>
      </c>
      <c r="D2" s="5" t="s">
        <v>330</v>
      </c>
      <c r="E2" s="5">
        <v>2</v>
      </c>
      <c r="F2" s="5">
        <v>2</v>
      </c>
      <c r="G2" s="5" t="s">
        <v>330</v>
      </c>
      <c r="H2" s="5" t="s">
        <v>330</v>
      </c>
      <c r="I2" s="5" t="s">
        <v>330</v>
      </c>
      <c r="J2" s="4"/>
      <c r="K2" s="4">
        <f t="shared" ref="K2:K33" si="0">COUNTIF(L2:BD2,"&gt;0")</f>
        <v>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x14ac:dyDescent="0.25">
      <c r="A3" s="4" t="s">
        <v>331</v>
      </c>
      <c r="B3" s="4" t="s">
        <v>327</v>
      </c>
      <c r="C3" s="4" t="s">
        <v>332</v>
      </c>
      <c r="D3" s="5" t="s">
        <v>330</v>
      </c>
      <c r="E3" s="5">
        <v>1</v>
      </c>
      <c r="F3" s="5">
        <v>1</v>
      </c>
      <c r="G3" s="5" t="s">
        <v>330</v>
      </c>
      <c r="H3" s="5" t="s">
        <v>330</v>
      </c>
      <c r="I3" s="5" t="s">
        <v>330</v>
      </c>
      <c r="J3" s="4"/>
      <c r="K3" s="4">
        <f t="shared" si="0"/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x14ac:dyDescent="0.25">
      <c r="A4" s="4" t="s">
        <v>333</v>
      </c>
      <c r="B4" s="4" t="s">
        <v>327</v>
      </c>
      <c r="C4" s="4" t="s">
        <v>334</v>
      </c>
      <c r="D4" s="5" t="s">
        <v>330</v>
      </c>
      <c r="E4" s="4">
        <v>4</v>
      </c>
      <c r="F4" s="4">
        <v>4</v>
      </c>
      <c r="G4" s="4" t="s">
        <v>335</v>
      </c>
      <c r="H4" s="5" t="s">
        <v>330</v>
      </c>
      <c r="I4" s="5" t="s">
        <v>330</v>
      </c>
      <c r="J4" s="4"/>
      <c r="K4" s="4">
        <f t="shared" si="0"/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x14ac:dyDescent="0.25">
      <c r="A5" s="4" t="s">
        <v>336</v>
      </c>
      <c r="B5" s="4" t="s">
        <v>327</v>
      </c>
      <c r="C5" s="4" t="s">
        <v>337</v>
      </c>
      <c r="D5" s="5" t="s">
        <v>330</v>
      </c>
      <c r="E5" s="5">
        <v>3</v>
      </c>
      <c r="F5" s="5">
        <v>3</v>
      </c>
      <c r="G5" s="5" t="s">
        <v>330</v>
      </c>
      <c r="H5" s="5" t="s">
        <v>330</v>
      </c>
      <c r="I5" s="5" t="s">
        <v>330</v>
      </c>
      <c r="J5" s="4"/>
      <c r="K5" s="4">
        <f t="shared" si="0"/>
        <v>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x14ac:dyDescent="0.25">
      <c r="A6" s="4" t="s">
        <v>338</v>
      </c>
      <c r="B6" s="4" t="s">
        <v>327</v>
      </c>
      <c r="C6" s="4" t="s">
        <v>339</v>
      </c>
      <c r="D6" s="5" t="s">
        <v>330</v>
      </c>
      <c r="E6" s="4">
        <v>1</v>
      </c>
      <c r="F6" s="4">
        <v>1</v>
      </c>
      <c r="G6" s="5" t="s">
        <v>330</v>
      </c>
      <c r="H6" s="5" t="s">
        <v>330</v>
      </c>
      <c r="I6" s="5" t="s">
        <v>340</v>
      </c>
      <c r="J6" s="4"/>
      <c r="K6" s="4">
        <f t="shared" si="0"/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25">
      <c r="A7" s="4" t="s">
        <v>341</v>
      </c>
      <c r="B7" s="4" t="s">
        <v>327</v>
      </c>
      <c r="C7" s="4" t="s">
        <v>339</v>
      </c>
      <c r="D7" s="5" t="s">
        <v>330</v>
      </c>
      <c r="E7" s="4">
        <v>1</v>
      </c>
      <c r="F7" s="4">
        <v>1</v>
      </c>
      <c r="G7" s="5" t="s">
        <v>335</v>
      </c>
      <c r="H7" s="5" t="s">
        <v>330</v>
      </c>
      <c r="I7" s="5" t="s">
        <v>330</v>
      </c>
      <c r="J7" s="4"/>
      <c r="K7" s="4">
        <f t="shared" si="0"/>
        <v>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5">
      <c r="A8" s="4" t="s">
        <v>342</v>
      </c>
      <c r="B8" s="4" t="s">
        <v>327</v>
      </c>
      <c r="C8" s="4" t="s">
        <v>337</v>
      </c>
      <c r="D8" s="5" t="s">
        <v>330</v>
      </c>
      <c r="E8" s="4">
        <v>2</v>
      </c>
      <c r="F8" s="4">
        <v>2</v>
      </c>
      <c r="G8" s="5" t="s">
        <v>330</v>
      </c>
      <c r="H8" s="5" t="s">
        <v>330</v>
      </c>
      <c r="I8" s="5" t="s">
        <v>330</v>
      </c>
      <c r="J8" s="4"/>
      <c r="K8" s="4">
        <f t="shared" si="0"/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x14ac:dyDescent="0.25">
      <c r="A9" s="4" t="s">
        <v>342</v>
      </c>
      <c r="B9" s="4" t="s">
        <v>327</v>
      </c>
      <c r="C9" s="4" t="s">
        <v>337</v>
      </c>
      <c r="D9" s="5" t="s">
        <v>330</v>
      </c>
      <c r="E9" s="4">
        <v>4</v>
      </c>
      <c r="F9" s="4">
        <v>4</v>
      </c>
      <c r="G9" s="5" t="s">
        <v>330</v>
      </c>
      <c r="H9" s="5" t="s">
        <v>330</v>
      </c>
      <c r="I9" s="5" t="s">
        <v>330</v>
      </c>
      <c r="J9" s="4"/>
      <c r="K9" s="4">
        <f t="shared" si="0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x14ac:dyDescent="0.25">
      <c r="A10" s="4" t="s">
        <v>343</v>
      </c>
      <c r="B10" s="4" t="s">
        <v>327</v>
      </c>
      <c r="C10" s="4" t="s">
        <v>337</v>
      </c>
      <c r="D10" s="5" t="s">
        <v>330</v>
      </c>
      <c r="E10" s="4">
        <v>3</v>
      </c>
      <c r="F10" s="4">
        <v>3</v>
      </c>
      <c r="G10" s="5" t="s">
        <v>330</v>
      </c>
      <c r="H10" s="5" t="s">
        <v>330</v>
      </c>
      <c r="I10" s="5" t="s">
        <v>330</v>
      </c>
      <c r="J10" s="4"/>
      <c r="K10" s="4">
        <f t="shared" si="0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x14ac:dyDescent="0.25">
      <c r="A11" s="4" t="s">
        <v>344</v>
      </c>
      <c r="B11" s="4" t="s">
        <v>327</v>
      </c>
      <c r="C11" s="4" t="s">
        <v>345</v>
      </c>
      <c r="D11" s="5" t="s">
        <v>330</v>
      </c>
      <c r="E11" s="4">
        <v>2</v>
      </c>
      <c r="F11" s="4">
        <v>2</v>
      </c>
      <c r="G11" s="5" t="s">
        <v>335</v>
      </c>
      <c r="H11" s="5" t="s">
        <v>330</v>
      </c>
      <c r="I11" s="5" t="s">
        <v>330</v>
      </c>
      <c r="J11" s="4"/>
      <c r="K11" s="4">
        <f t="shared" si="0"/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x14ac:dyDescent="0.25">
      <c r="A12" s="4" t="s">
        <v>344</v>
      </c>
      <c r="B12" s="4" t="s">
        <v>327</v>
      </c>
      <c r="C12" s="4" t="s">
        <v>334</v>
      </c>
      <c r="D12" s="5" t="s">
        <v>330</v>
      </c>
      <c r="E12" s="4">
        <v>1</v>
      </c>
      <c r="F12" s="4">
        <v>1</v>
      </c>
      <c r="G12" s="5" t="s">
        <v>335</v>
      </c>
      <c r="H12" s="5" t="s">
        <v>330</v>
      </c>
      <c r="I12" s="5" t="s">
        <v>330</v>
      </c>
      <c r="J12" s="4"/>
      <c r="K12" s="4">
        <f t="shared" si="0"/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x14ac:dyDescent="0.25">
      <c r="A13" s="4" t="s">
        <v>346</v>
      </c>
      <c r="B13" s="4" t="s">
        <v>327</v>
      </c>
      <c r="C13" s="4" t="s">
        <v>337</v>
      </c>
      <c r="D13" s="5" t="s">
        <v>330</v>
      </c>
      <c r="E13" s="4">
        <v>2</v>
      </c>
      <c r="F13" s="4">
        <v>2</v>
      </c>
      <c r="G13" s="5" t="s">
        <v>330</v>
      </c>
      <c r="H13" s="5" t="s">
        <v>330</v>
      </c>
      <c r="I13" s="5" t="s">
        <v>330</v>
      </c>
      <c r="J13" s="4"/>
      <c r="K13" s="4">
        <f t="shared" si="0"/>
        <v>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x14ac:dyDescent="0.25">
      <c r="A14" s="4" t="s">
        <v>348</v>
      </c>
      <c r="B14" s="4" t="s">
        <v>347</v>
      </c>
      <c r="C14" s="5" t="s">
        <v>330</v>
      </c>
      <c r="D14" s="5" t="s">
        <v>330</v>
      </c>
      <c r="E14" s="5" t="s">
        <v>330</v>
      </c>
      <c r="F14" s="5" t="s">
        <v>330</v>
      </c>
      <c r="G14" s="5" t="s">
        <v>330</v>
      </c>
      <c r="H14" s="5" t="s">
        <v>330</v>
      </c>
      <c r="I14" s="5" t="s">
        <v>330</v>
      </c>
      <c r="J14" s="4"/>
      <c r="K14" s="4">
        <f t="shared" si="0"/>
        <v>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x14ac:dyDescent="0.25">
      <c r="A15" s="4" t="s">
        <v>349</v>
      </c>
      <c r="B15" s="4" t="s">
        <v>327</v>
      </c>
      <c r="C15" s="4" t="s">
        <v>337</v>
      </c>
      <c r="D15" s="5" t="s">
        <v>334</v>
      </c>
      <c r="E15" s="4">
        <v>1</v>
      </c>
      <c r="F15" s="4">
        <v>1</v>
      </c>
      <c r="G15" s="5" t="s">
        <v>330</v>
      </c>
      <c r="H15" s="5" t="s">
        <v>330</v>
      </c>
      <c r="I15" s="5" t="s">
        <v>330</v>
      </c>
      <c r="J15" s="4"/>
      <c r="K15" s="4">
        <f t="shared" si="0"/>
        <v>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x14ac:dyDescent="0.25">
      <c r="A16" s="4" t="s">
        <v>350</v>
      </c>
      <c r="B16" s="4" t="s">
        <v>327</v>
      </c>
      <c r="C16" s="4" t="s">
        <v>332</v>
      </c>
      <c r="D16" s="5" t="s">
        <v>330</v>
      </c>
      <c r="E16" s="4" t="s">
        <v>351</v>
      </c>
      <c r="F16" s="4" t="s">
        <v>351</v>
      </c>
      <c r="G16" s="5" t="s">
        <v>330</v>
      </c>
      <c r="H16" s="5" t="s">
        <v>330</v>
      </c>
      <c r="I16" s="5" t="s">
        <v>330</v>
      </c>
      <c r="J16" s="4"/>
      <c r="K16" s="4">
        <f t="shared" si="0"/>
        <v>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>
        <v>2</v>
      </c>
      <c r="AP16" s="4"/>
      <c r="AQ16" s="4"/>
      <c r="AR16" s="4"/>
      <c r="AS16" s="4"/>
    </row>
    <row r="17" spans="1:45" x14ac:dyDescent="0.25">
      <c r="A17" s="4" t="s">
        <v>353</v>
      </c>
      <c r="B17" s="4" t="s">
        <v>352</v>
      </c>
      <c r="C17" s="4" t="s">
        <v>332</v>
      </c>
      <c r="D17" s="5" t="s">
        <v>330</v>
      </c>
      <c r="E17" s="5" t="s">
        <v>330</v>
      </c>
      <c r="F17" s="5" t="s">
        <v>330</v>
      </c>
      <c r="G17" s="5" t="s">
        <v>330</v>
      </c>
      <c r="H17" s="5" t="s">
        <v>330</v>
      </c>
      <c r="I17" s="5" t="s">
        <v>330</v>
      </c>
      <c r="J17" s="4"/>
      <c r="K17" s="4">
        <f t="shared" si="0"/>
        <v>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x14ac:dyDescent="0.25">
      <c r="A18" s="4" t="s">
        <v>354</v>
      </c>
      <c r="B18" s="4" t="s">
        <v>327</v>
      </c>
      <c r="C18" s="4" t="s">
        <v>332</v>
      </c>
      <c r="D18" s="5" t="s">
        <v>330</v>
      </c>
      <c r="E18" s="4">
        <v>0</v>
      </c>
      <c r="F18" s="4">
        <v>0</v>
      </c>
      <c r="G18" s="5" t="s">
        <v>330</v>
      </c>
      <c r="H18" s="5" t="s">
        <v>330</v>
      </c>
      <c r="I18" s="5" t="s">
        <v>355</v>
      </c>
      <c r="J18" s="4"/>
      <c r="K18" s="4">
        <f t="shared" si="0"/>
        <v>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x14ac:dyDescent="0.25">
      <c r="A19" s="4" t="s">
        <v>354</v>
      </c>
      <c r="B19" s="4" t="s">
        <v>327</v>
      </c>
      <c r="C19" s="4" t="s">
        <v>332</v>
      </c>
      <c r="D19" s="5" t="s">
        <v>330</v>
      </c>
      <c r="E19" s="4">
        <v>1</v>
      </c>
      <c r="F19" s="4">
        <v>1</v>
      </c>
      <c r="G19" s="5" t="s">
        <v>330</v>
      </c>
      <c r="H19" s="5" t="s">
        <v>330</v>
      </c>
      <c r="I19" s="5" t="s">
        <v>330</v>
      </c>
      <c r="J19" s="4"/>
      <c r="K19" s="4">
        <f t="shared" si="0"/>
        <v>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x14ac:dyDescent="0.25">
      <c r="A20" s="4" t="s">
        <v>354</v>
      </c>
      <c r="B20" s="4" t="s">
        <v>327</v>
      </c>
      <c r="C20" s="4" t="s">
        <v>332</v>
      </c>
      <c r="D20" s="5" t="s">
        <v>330</v>
      </c>
      <c r="E20" s="4">
        <v>1</v>
      </c>
      <c r="F20" s="4">
        <v>1</v>
      </c>
      <c r="G20" s="5" t="s">
        <v>356</v>
      </c>
      <c r="H20" s="5" t="s">
        <v>330</v>
      </c>
      <c r="I20" s="5" t="s">
        <v>330</v>
      </c>
      <c r="J20" s="4"/>
      <c r="K20" s="4">
        <f t="shared" si="0"/>
        <v>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 x14ac:dyDescent="0.25">
      <c r="A21" s="4" t="s">
        <v>354</v>
      </c>
      <c r="B21" s="4" t="s">
        <v>327</v>
      </c>
      <c r="C21" s="4" t="s">
        <v>332</v>
      </c>
      <c r="D21" s="5" t="s">
        <v>330</v>
      </c>
      <c r="E21" s="4">
        <v>4</v>
      </c>
      <c r="F21" s="4">
        <v>4</v>
      </c>
      <c r="G21" s="5" t="s">
        <v>330</v>
      </c>
      <c r="H21" s="5" t="s">
        <v>330</v>
      </c>
      <c r="I21" s="5" t="s">
        <v>330</v>
      </c>
      <c r="J21" s="4"/>
      <c r="K21" s="4">
        <f t="shared" si="0"/>
        <v>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 x14ac:dyDescent="0.25">
      <c r="A22" s="4" t="s">
        <v>354</v>
      </c>
      <c r="B22" s="4" t="s">
        <v>327</v>
      </c>
      <c r="C22" s="4" t="s">
        <v>332</v>
      </c>
      <c r="D22" s="5" t="s">
        <v>330</v>
      </c>
      <c r="E22" s="5">
        <v>2</v>
      </c>
      <c r="F22" s="5">
        <v>2</v>
      </c>
      <c r="G22" s="5" t="s">
        <v>330</v>
      </c>
      <c r="H22" s="5" t="s">
        <v>330</v>
      </c>
      <c r="I22" s="5" t="s">
        <v>330</v>
      </c>
      <c r="J22" s="4"/>
      <c r="K22" s="4">
        <f t="shared" si="0"/>
        <v>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 x14ac:dyDescent="0.25">
      <c r="A23" s="4" t="s">
        <v>20</v>
      </c>
      <c r="B23" s="4" t="s">
        <v>327</v>
      </c>
      <c r="C23" s="4" t="s">
        <v>329</v>
      </c>
      <c r="D23" s="5" t="s">
        <v>330</v>
      </c>
      <c r="E23" s="4">
        <v>1</v>
      </c>
      <c r="F23" s="4">
        <v>1</v>
      </c>
      <c r="G23" s="5" t="s">
        <v>330</v>
      </c>
      <c r="H23" s="5" t="s">
        <v>330</v>
      </c>
      <c r="I23" s="5" t="s">
        <v>330</v>
      </c>
      <c r="J23" s="4"/>
      <c r="K23" s="4">
        <f t="shared" si="0"/>
        <v>1</v>
      </c>
      <c r="L23" s="4">
        <v>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 x14ac:dyDescent="0.25">
      <c r="A24" s="4" t="s">
        <v>357</v>
      </c>
      <c r="B24" s="4" t="s">
        <v>327</v>
      </c>
      <c r="C24" s="4" t="s">
        <v>345</v>
      </c>
      <c r="D24" s="5" t="s">
        <v>330</v>
      </c>
      <c r="E24" s="4">
        <v>0</v>
      </c>
      <c r="F24" s="4">
        <v>3</v>
      </c>
      <c r="G24" s="5" t="s">
        <v>330</v>
      </c>
      <c r="H24" s="5" t="s">
        <v>330</v>
      </c>
      <c r="I24" s="5" t="s">
        <v>330</v>
      </c>
      <c r="J24" s="4"/>
      <c r="K24" s="4">
        <f t="shared" si="0"/>
        <v>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 x14ac:dyDescent="0.25">
      <c r="A25" s="4" t="s">
        <v>358</v>
      </c>
      <c r="B25" s="4" t="s">
        <v>327</v>
      </c>
      <c r="C25" s="4" t="s">
        <v>339</v>
      </c>
      <c r="D25" s="5" t="s">
        <v>330</v>
      </c>
      <c r="E25" s="4">
        <v>1</v>
      </c>
      <c r="F25" s="4">
        <v>1</v>
      </c>
      <c r="G25" s="5" t="s">
        <v>335</v>
      </c>
      <c r="H25" s="5" t="s">
        <v>330</v>
      </c>
      <c r="I25" s="5" t="s">
        <v>330</v>
      </c>
      <c r="J25" s="4"/>
      <c r="K25" s="4">
        <f t="shared" si="0"/>
        <v>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 x14ac:dyDescent="0.25">
      <c r="A26" s="4" t="s">
        <v>359</v>
      </c>
      <c r="B26" s="4" t="s">
        <v>327</v>
      </c>
      <c r="C26" s="4" t="s">
        <v>339</v>
      </c>
      <c r="D26" s="5" t="s">
        <v>330</v>
      </c>
      <c r="E26" s="4">
        <v>3</v>
      </c>
      <c r="F26" s="4">
        <v>3</v>
      </c>
      <c r="G26" s="5" t="s">
        <v>330</v>
      </c>
      <c r="H26" s="5" t="s">
        <v>330</v>
      </c>
      <c r="I26" s="5" t="s">
        <v>330</v>
      </c>
      <c r="J26" s="4"/>
      <c r="K26" s="4">
        <f t="shared" si="0"/>
        <v>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 x14ac:dyDescent="0.25">
      <c r="A27" s="4" t="s">
        <v>360</v>
      </c>
      <c r="B27" s="4" t="s">
        <v>327</v>
      </c>
      <c r="C27" s="4" t="s">
        <v>334</v>
      </c>
      <c r="D27" s="5" t="s">
        <v>339</v>
      </c>
      <c r="E27" s="4">
        <v>4</v>
      </c>
      <c r="F27" s="4">
        <v>3</v>
      </c>
      <c r="G27" s="5" t="s">
        <v>335</v>
      </c>
      <c r="H27" s="5" t="s">
        <v>330</v>
      </c>
      <c r="I27" s="5" t="s">
        <v>330</v>
      </c>
      <c r="J27" s="4"/>
      <c r="K27" s="4">
        <f t="shared" si="0"/>
        <v>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x14ac:dyDescent="0.25">
      <c r="A28" s="4" t="s">
        <v>361</v>
      </c>
      <c r="B28" s="4" t="s">
        <v>327</v>
      </c>
      <c r="C28" s="4" t="s">
        <v>329</v>
      </c>
      <c r="D28" s="5" t="s">
        <v>330</v>
      </c>
      <c r="E28" s="4">
        <v>4</v>
      </c>
      <c r="F28" s="4">
        <v>4</v>
      </c>
      <c r="G28" s="5" t="s">
        <v>335</v>
      </c>
      <c r="H28" s="5" t="s">
        <v>330</v>
      </c>
      <c r="I28" s="5" t="s">
        <v>330</v>
      </c>
      <c r="J28" s="4"/>
      <c r="K28" s="4">
        <f t="shared" si="0"/>
        <v>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 x14ac:dyDescent="0.25">
      <c r="A29" s="4" t="s">
        <v>361</v>
      </c>
      <c r="B29" s="4" t="s">
        <v>327</v>
      </c>
      <c r="C29" s="4" t="s">
        <v>329</v>
      </c>
      <c r="D29" s="5" t="s">
        <v>330</v>
      </c>
      <c r="E29" s="5">
        <v>4</v>
      </c>
      <c r="F29" s="5">
        <v>4</v>
      </c>
      <c r="G29" s="5" t="s">
        <v>335</v>
      </c>
      <c r="H29" s="5" t="s">
        <v>362</v>
      </c>
      <c r="I29" s="5" t="s">
        <v>330</v>
      </c>
      <c r="J29" s="4"/>
      <c r="K29" s="4">
        <f t="shared" si="0"/>
        <v>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x14ac:dyDescent="0.25">
      <c r="A30" s="4" t="s">
        <v>363</v>
      </c>
      <c r="B30" s="4" t="s">
        <v>327</v>
      </c>
      <c r="C30" s="4" t="s">
        <v>329</v>
      </c>
      <c r="D30" s="5" t="s">
        <v>330</v>
      </c>
      <c r="E30" s="4">
        <v>4</v>
      </c>
      <c r="F30" s="4">
        <v>4</v>
      </c>
      <c r="G30" s="5" t="s">
        <v>335</v>
      </c>
      <c r="H30" s="5" t="s">
        <v>364</v>
      </c>
      <c r="I30" s="5" t="s">
        <v>330</v>
      </c>
      <c r="J30" s="4"/>
      <c r="K30" s="4">
        <f t="shared" si="0"/>
        <v>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x14ac:dyDescent="0.25">
      <c r="A31" s="4" t="s">
        <v>365</v>
      </c>
      <c r="B31" s="4" t="s">
        <v>327</v>
      </c>
      <c r="C31" s="4" t="s">
        <v>345</v>
      </c>
      <c r="D31" s="5" t="s">
        <v>330</v>
      </c>
      <c r="E31" s="4">
        <v>2</v>
      </c>
      <c r="F31" s="4">
        <v>2</v>
      </c>
      <c r="G31" s="4" t="s">
        <v>335</v>
      </c>
      <c r="H31" s="5" t="s">
        <v>330</v>
      </c>
      <c r="I31" s="5" t="s">
        <v>330</v>
      </c>
      <c r="J31" s="4"/>
      <c r="K31" s="4">
        <f t="shared" si="0"/>
        <v>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 x14ac:dyDescent="0.25">
      <c r="A32" s="4" t="s">
        <v>366</v>
      </c>
      <c r="B32" s="4" t="s">
        <v>347</v>
      </c>
      <c r="C32" s="5" t="s">
        <v>330</v>
      </c>
      <c r="D32" s="5" t="s">
        <v>330</v>
      </c>
      <c r="E32" s="5" t="s">
        <v>330</v>
      </c>
      <c r="F32" s="5" t="s">
        <v>330</v>
      </c>
      <c r="G32" s="5" t="s">
        <v>330</v>
      </c>
      <c r="H32" s="5" t="s">
        <v>330</v>
      </c>
      <c r="I32" s="5" t="s">
        <v>330</v>
      </c>
      <c r="J32" s="4"/>
      <c r="K32" s="4">
        <f t="shared" si="0"/>
        <v>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 x14ac:dyDescent="0.25">
      <c r="A33" s="4" t="s">
        <v>367</v>
      </c>
      <c r="B33" s="4" t="s">
        <v>327</v>
      </c>
      <c r="C33" s="4" t="s">
        <v>329</v>
      </c>
      <c r="D33" s="5" t="s">
        <v>330</v>
      </c>
      <c r="E33" s="5">
        <v>1</v>
      </c>
      <c r="F33" s="5">
        <v>1</v>
      </c>
      <c r="G33" s="5" t="s">
        <v>330</v>
      </c>
      <c r="H33" s="5" t="s">
        <v>330</v>
      </c>
      <c r="I33" s="5" t="s">
        <v>330</v>
      </c>
      <c r="J33" s="4"/>
      <c r="K33" s="4">
        <f t="shared" si="0"/>
        <v>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 x14ac:dyDescent="0.25">
      <c r="A34" s="4" t="s">
        <v>368</v>
      </c>
      <c r="B34" s="4" t="s">
        <v>327</v>
      </c>
      <c r="C34" s="4" t="s">
        <v>332</v>
      </c>
      <c r="D34" s="5" t="s">
        <v>330</v>
      </c>
      <c r="E34" s="4">
        <v>0</v>
      </c>
      <c r="F34" s="4">
        <v>1</v>
      </c>
      <c r="G34" s="5" t="s">
        <v>330</v>
      </c>
      <c r="H34" s="5" t="s">
        <v>330</v>
      </c>
      <c r="I34" s="5" t="s">
        <v>369</v>
      </c>
      <c r="J34" s="4"/>
      <c r="K34" s="4">
        <f t="shared" ref="K34:K65" si="1">COUNTIF(L34:BD34,"&gt;0")</f>
        <v>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 x14ac:dyDescent="0.25">
      <c r="A35" s="4" t="s">
        <v>370</v>
      </c>
      <c r="B35" s="4" t="s">
        <v>327</v>
      </c>
      <c r="C35" s="4" t="s">
        <v>334</v>
      </c>
      <c r="D35" s="5" t="s">
        <v>337</v>
      </c>
      <c r="E35" s="4">
        <v>8</v>
      </c>
      <c r="F35" s="4">
        <v>8</v>
      </c>
      <c r="G35" s="5" t="s">
        <v>371</v>
      </c>
      <c r="H35" s="5" t="s">
        <v>330</v>
      </c>
      <c r="I35" s="5" t="s">
        <v>330</v>
      </c>
      <c r="J35" s="4"/>
      <c r="K35" s="4">
        <f t="shared" si="1"/>
        <v>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 x14ac:dyDescent="0.25">
      <c r="A36" s="4" t="s">
        <v>370</v>
      </c>
      <c r="B36" s="4" t="s">
        <v>327</v>
      </c>
      <c r="C36" s="4" t="s">
        <v>329</v>
      </c>
      <c r="D36" s="5" t="s">
        <v>330</v>
      </c>
      <c r="E36" s="5">
        <v>1</v>
      </c>
      <c r="F36" s="5">
        <v>1</v>
      </c>
      <c r="G36" s="5" t="s">
        <v>330</v>
      </c>
      <c r="H36" s="5" t="s">
        <v>330</v>
      </c>
      <c r="I36" s="5" t="s">
        <v>372</v>
      </c>
      <c r="J36" s="4"/>
      <c r="K36" s="4">
        <f t="shared" si="1"/>
        <v>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 x14ac:dyDescent="0.25">
      <c r="A37" s="4" t="s">
        <v>370</v>
      </c>
      <c r="B37" s="4" t="s">
        <v>327</v>
      </c>
      <c r="C37" s="4" t="s">
        <v>329</v>
      </c>
      <c r="D37" s="5" t="s">
        <v>330</v>
      </c>
      <c r="E37" s="4">
        <v>2</v>
      </c>
      <c r="F37" s="4">
        <v>1</v>
      </c>
      <c r="G37" s="5" t="s">
        <v>364</v>
      </c>
      <c r="H37" s="5" t="s">
        <v>373</v>
      </c>
      <c r="I37" s="5" t="s">
        <v>330</v>
      </c>
      <c r="J37" s="4"/>
      <c r="K37" s="4">
        <f t="shared" si="1"/>
        <v>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 x14ac:dyDescent="0.25">
      <c r="A38" s="4" t="s">
        <v>374</v>
      </c>
      <c r="B38" s="4" t="s">
        <v>327</v>
      </c>
      <c r="C38" s="4" t="s">
        <v>337</v>
      </c>
      <c r="D38" s="5" t="s">
        <v>330</v>
      </c>
      <c r="E38" s="4">
        <v>3</v>
      </c>
      <c r="F38" s="4">
        <v>3</v>
      </c>
      <c r="G38" s="5" t="s">
        <v>330</v>
      </c>
      <c r="H38" s="5" t="s">
        <v>330</v>
      </c>
      <c r="I38" s="5" t="s">
        <v>330</v>
      </c>
      <c r="J38" s="4"/>
      <c r="K38" s="4">
        <f t="shared" si="1"/>
        <v>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45" x14ac:dyDescent="0.25">
      <c r="A39" s="4" t="s">
        <v>375</v>
      </c>
      <c r="B39" s="4" t="s">
        <v>327</v>
      </c>
      <c r="C39" s="4" t="s">
        <v>337</v>
      </c>
      <c r="D39" s="5" t="s">
        <v>330</v>
      </c>
      <c r="E39" s="4">
        <v>1</v>
      </c>
      <c r="F39" s="4">
        <v>1</v>
      </c>
      <c r="G39" s="5" t="s">
        <v>330</v>
      </c>
      <c r="H39" s="5" t="s">
        <v>330</v>
      </c>
      <c r="I39" s="4"/>
      <c r="J39" s="4"/>
      <c r="K39" s="4">
        <f t="shared" si="1"/>
        <v>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45" x14ac:dyDescent="0.25">
      <c r="A40" s="4" t="s">
        <v>376</v>
      </c>
      <c r="B40" s="4" t="s">
        <v>327</v>
      </c>
      <c r="C40" s="4" t="s">
        <v>337</v>
      </c>
      <c r="D40" s="5" t="s">
        <v>330</v>
      </c>
      <c r="E40" s="4">
        <v>1</v>
      </c>
      <c r="F40" s="4">
        <v>1</v>
      </c>
      <c r="G40" s="5" t="s">
        <v>330</v>
      </c>
      <c r="H40" s="5" t="s">
        <v>330</v>
      </c>
      <c r="I40" s="4" t="s">
        <v>377</v>
      </c>
      <c r="J40" s="4"/>
      <c r="K40" s="4">
        <f t="shared" si="1"/>
        <v>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45" x14ac:dyDescent="0.25">
      <c r="A41" s="4" t="s">
        <v>378</v>
      </c>
      <c r="B41" s="4" t="s">
        <v>327</v>
      </c>
      <c r="C41" s="4" t="s">
        <v>337</v>
      </c>
      <c r="D41" s="5" t="s">
        <v>330</v>
      </c>
      <c r="E41" s="5">
        <v>1</v>
      </c>
      <c r="F41" s="5">
        <v>1</v>
      </c>
      <c r="G41" s="5" t="s">
        <v>330</v>
      </c>
      <c r="H41" s="5" t="s">
        <v>330</v>
      </c>
      <c r="I41" s="5" t="s">
        <v>330</v>
      </c>
      <c r="J41" s="4"/>
      <c r="K41" s="4">
        <f t="shared" si="1"/>
        <v>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 x14ac:dyDescent="0.25">
      <c r="A42" s="4" t="s">
        <v>379</v>
      </c>
      <c r="B42" s="4" t="s">
        <v>347</v>
      </c>
      <c r="C42" s="5" t="s">
        <v>330</v>
      </c>
      <c r="D42" s="5" t="s">
        <v>330</v>
      </c>
      <c r="E42" s="5" t="s">
        <v>330</v>
      </c>
      <c r="F42" s="5" t="s">
        <v>330</v>
      </c>
      <c r="G42" s="5" t="s">
        <v>330</v>
      </c>
      <c r="H42" s="5" t="s">
        <v>330</v>
      </c>
      <c r="I42" s="5" t="s">
        <v>330</v>
      </c>
      <c r="J42" s="4"/>
      <c r="K42" s="4">
        <f t="shared" si="1"/>
        <v>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45" x14ac:dyDescent="0.25">
      <c r="A43" s="4" t="s">
        <v>380</v>
      </c>
      <c r="B43" s="4" t="s">
        <v>327</v>
      </c>
      <c r="C43" s="4" t="s">
        <v>345</v>
      </c>
      <c r="D43" s="5" t="s">
        <v>339</v>
      </c>
      <c r="E43" s="4">
        <v>1</v>
      </c>
      <c r="F43" s="4">
        <v>1</v>
      </c>
      <c r="G43" s="5" t="s">
        <v>335</v>
      </c>
      <c r="H43" s="5" t="s">
        <v>330</v>
      </c>
      <c r="I43" s="5" t="s">
        <v>330</v>
      </c>
      <c r="J43" s="4"/>
      <c r="K43" s="4">
        <f t="shared" si="1"/>
        <v>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spans="1:45" x14ac:dyDescent="0.25">
      <c r="A44" s="4" t="s">
        <v>380</v>
      </c>
      <c r="B44" s="4" t="s">
        <v>327</v>
      </c>
      <c r="C44" s="4" t="s">
        <v>345</v>
      </c>
      <c r="D44" s="5" t="s">
        <v>330</v>
      </c>
      <c r="E44" s="4">
        <v>1</v>
      </c>
      <c r="F44" s="4">
        <v>1</v>
      </c>
      <c r="G44" s="4" t="s">
        <v>335</v>
      </c>
      <c r="H44" s="5" t="s">
        <v>330</v>
      </c>
      <c r="I44" s="5" t="s">
        <v>330</v>
      </c>
      <c r="J44" s="4"/>
      <c r="K44" s="4">
        <f t="shared" si="1"/>
        <v>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spans="1:45" x14ac:dyDescent="0.25">
      <c r="A45" s="4" t="s">
        <v>381</v>
      </c>
      <c r="B45" s="4" t="s">
        <v>327</v>
      </c>
      <c r="C45" s="4" t="s">
        <v>345</v>
      </c>
      <c r="D45" s="5" t="s">
        <v>330</v>
      </c>
      <c r="E45" s="4">
        <v>1</v>
      </c>
      <c r="F45" s="4">
        <v>1</v>
      </c>
      <c r="G45" s="5" t="s">
        <v>335</v>
      </c>
      <c r="H45" s="5" t="s">
        <v>330</v>
      </c>
      <c r="I45" s="5" t="s">
        <v>330</v>
      </c>
      <c r="J45" s="4"/>
      <c r="K45" s="4">
        <f t="shared" si="1"/>
        <v>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spans="1:45" x14ac:dyDescent="0.25">
      <c r="A46" s="4" t="s">
        <v>382</v>
      </c>
      <c r="B46" s="4" t="s">
        <v>327</v>
      </c>
      <c r="C46" s="4" t="s">
        <v>339</v>
      </c>
      <c r="D46" s="5" t="s">
        <v>330</v>
      </c>
      <c r="E46" s="4">
        <v>1</v>
      </c>
      <c r="F46" s="4">
        <v>1</v>
      </c>
      <c r="G46" s="4" t="s">
        <v>335</v>
      </c>
      <c r="H46" s="5" t="s">
        <v>330</v>
      </c>
      <c r="I46" s="5" t="s">
        <v>330</v>
      </c>
      <c r="J46" s="4"/>
      <c r="K46" s="4">
        <f t="shared" si="1"/>
        <v>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 x14ac:dyDescent="0.25">
      <c r="A47" s="4" t="s">
        <v>383</v>
      </c>
      <c r="B47" s="4" t="s">
        <v>352</v>
      </c>
      <c r="C47" s="4" t="s">
        <v>332</v>
      </c>
      <c r="D47" s="5" t="s">
        <v>330</v>
      </c>
      <c r="E47" s="5" t="s">
        <v>330</v>
      </c>
      <c r="F47" s="5" t="s">
        <v>330</v>
      </c>
      <c r="G47" s="5" t="s">
        <v>330</v>
      </c>
      <c r="H47" s="5" t="s">
        <v>330</v>
      </c>
      <c r="I47" s="5" t="s">
        <v>330</v>
      </c>
      <c r="J47" s="4"/>
      <c r="K47" s="4">
        <f t="shared" si="1"/>
        <v>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 x14ac:dyDescent="0.25">
      <c r="A48" s="4" t="s">
        <v>384</v>
      </c>
      <c r="B48" s="4" t="s">
        <v>327</v>
      </c>
      <c r="C48" s="4" t="s">
        <v>345</v>
      </c>
      <c r="D48" s="5" t="s">
        <v>337</v>
      </c>
      <c r="E48" s="4">
        <v>0</v>
      </c>
      <c r="F48" s="4">
        <v>0</v>
      </c>
      <c r="G48" s="5" t="s">
        <v>330</v>
      </c>
      <c r="H48" s="5" t="s">
        <v>330</v>
      </c>
      <c r="I48" s="5" t="s">
        <v>330</v>
      </c>
      <c r="J48" s="4"/>
      <c r="K48" s="4">
        <f t="shared" si="1"/>
        <v>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45" x14ac:dyDescent="0.25">
      <c r="A49" s="4" t="s">
        <v>385</v>
      </c>
      <c r="B49" s="4" t="s">
        <v>327</v>
      </c>
      <c r="C49" s="4" t="s">
        <v>337</v>
      </c>
      <c r="D49" s="5" t="s">
        <v>330</v>
      </c>
      <c r="E49" s="4">
        <v>1</v>
      </c>
      <c r="F49" s="4">
        <v>1</v>
      </c>
      <c r="G49" s="5" t="s">
        <v>330</v>
      </c>
      <c r="H49" s="5" t="s">
        <v>330</v>
      </c>
      <c r="I49" s="5" t="s">
        <v>330</v>
      </c>
      <c r="J49" s="4"/>
      <c r="K49" s="4">
        <f t="shared" si="1"/>
        <v>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45" x14ac:dyDescent="0.25">
      <c r="A50" s="4" t="s">
        <v>386</v>
      </c>
      <c r="B50" s="4" t="s">
        <v>327</v>
      </c>
      <c r="C50" s="4" t="s">
        <v>332</v>
      </c>
      <c r="D50" s="5" t="s">
        <v>330</v>
      </c>
      <c r="E50" s="4">
        <v>1</v>
      </c>
      <c r="F50" s="4">
        <v>1</v>
      </c>
      <c r="G50" s="5" t="s">
        <v>330</v>
      </c>
      <c r="H50" s="5" t="s">
        <v>330</v>
      </c>
      <c r="I50" s="5" t="s">
        <v>330</v>
      </c>
      <c r="J50" s="4"/>
      <c r="K50" s="4">
        <f t="shared" si="1"/>
        <v>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 x14ac:dyDescent="0.25">
      <c r="A51" s="4" t="s">
        <v>387</v>
      </c>
      <c r="B51" s="4" t="s">
        <v>327</v>
      </c>
      <c r="C51" s="4" t="s">
        <v>334</v>
      </c>
      <c r="D51" s="5" t="s">
        <v>330</v>
      </c>
      <c r="E51" s="4" t="s">
        <v>351</v>
      </c>
      <c r="F51" s="4" t="s">
        <v>351</v>
      </c>
      <c r="G51" s="5" t="s">
        <v>330</v>
      </c>
      <c r="H51" s="5" t="s">
        <v>330</v>
      </c>
      <c r="I51" s="5" t="s">
        <v>388</v>
      </c>
      <c r="J51" s="4"/>
      <c r="K51" s="4">
        <f t="shared" si="1"/>
        <v>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45" x14ac:dyDescent="0.25">
      <c r="A52" s="4" t="s">
        <v>389</v>
      </c>
      <c r="B52" s="4" t="s">
        <v>327</v>
      </c>
      <c r="C52" s="4" t="s">
        <v>334</v>
      </c>
      <c r="D52" s="5" t="s">
        <v>330</v>
      </c>
      <c r="E52" s="4">
        <v>0</v>
      </c>
      <c r="F52" s="4">
        <v>1</v>
      </c>
      <c r="G52" s="5" t="s">
        <v>330</v>
      </c>
      <c r="H52" s="5" t="s">
        <v>330</v>
      </c>
      <c r="I52" s="5" t="s">
        <v>330</v>
      </c>
      <c r="J52" s="4"/>
      <c r="K52" s="4">
        <f t="shared" si="1"/>
        <v>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 x14ac:dyDescent="0.25">
      <c r="A53" s="4" t="s">
        <v>390</v>
      </c>
      <c r="B53" s="4" t="s">
        <v>327</v>
      </c>
      <c r="C53" s="4" t="s">
        <v>329</v>
      </c>
      <c r="D53" s="5" t="s">
        <v>330</v>
      </c>
      <c r="E53" s="4">
        <v>1</v>
      </c>
      <c r="F53" s="4">
        <v>1</v>
      </c>
      <c r="G53" s="5" t="s">
        <v>330</v>
      </c>
      <c r="H53" s="5" t="s">
        <v>330</v>
      </c>
      <c r="I53" s="5" t="s">
        <v>330</v>
      </c>
      <c r="J53" s="4"/>
      <c r="K53" s="4">
        <f t="shared" si="1"/>
        <v>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45" x14ac:dyDescent="0.25">
      <c r="A54" s="4" t="s">
        <v>390</v>
      </c>
      <c r="B54" s="4" t="s">
        <v>327</v>
      </c>
      <c r="C54" s="4" t="s">
        <v>329</v>
      </c>
      <c r="D54" s="5" t="s">
        <v>330</v>
      </c>
      <c r="E54" s="4">
        <v>1</v>
      </c>
      <c r="F54" s="4">
        <v>1</v>
      </c>
      <c r="G54" s="5" t="s">
        <v>330</v>
      </c>
      <c r="H54" s="5" t="s">
        <v>330</v>
      </c>
      <c r="I54" s="5" t="s">
        <v>391</v>
      </c>
      <c r="J54" s="4"/>
      <c r="K54" s="4">
        <f t="shared" si="1"/>
        <v>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45" x14ac:dyDescent="0.25">
      <c r="A55" s="4" t="s">
        <v>392</v>
      </c>
      <c r="B55" s="4" t="s">
        <v>352</v>
      </c>
      <c r="C55" s="4" t="s">
        <v>332</v>
      </c>
      <c r="D55" s="5" t="s">
        <v>330</v>
      </c>
      <c r="E55" s="5" t="s">
        <v>330</v>
      </c>
      <c r="F55" s="5" t="s">
        <v>330</v>
      </c>
      <c r="G55" s="5" t="s">
        <v>330</v>
      </c>
      <c r="H55" s="5" t="s">
        <v>330</v>
      </c>
      <c r="I55" s="5" t="s">
        <v>330</v>
      </c>
      <c r="J55" s="4"/>
      <c r="K55" s="4">
        <f t="shared" si="1"/>
        <v>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45" x14ac:dyDescent="0.25">
      <c r="A56" s="4" t="s">
        <v>393</v>
      </c>
      <c r="B56" s="4" t="s">
        <v>327</v>
      </c>
      <c r="C56" s="4" t="s">
        <v>334</v>
      </c>
      <c r="D56" s="5" t="s">
        <v>330</v>
      </c>
      <c r="E56" s="5">
        <v>1</v>
      </c>
      <c r="F56" s="5">
        <v>1</v>
      </c>
      <c r="G56" s="5" t="s">
        <v>330</v>
      </c>
      <c r="H56" s="5" t="s">
        <v>330</v>
      </c>
      <c r="I56" s="5" t="s">
        <v>330</v>
      </c>
      <c r="J56" s="4"/>
      <c r="K56" s="4">
        <f t="shared" si="1"/>
        <v>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45" x14ac:dyDescent="0.25">
      <c r="A57" s="4" t="s">
        <v>394</v>
      </c>
      <c r="B57" s="4" t="s">
        <v>327</v>
      </c>
      <c r="C57" s="4" t="s">
        <v>332</v>
      </c>
      <c r="D57" s="5" t="s">
        <v>330</v>
      </c>
      <c r="E57" s="5">
        <v>1</v>
      </c>
      <c r="F57" s="5">
        <v>1</v>
      </c>
      <c r="G57" s="5" t="s">
        <v>330</v>
      </c>
      <c r="H57" s="5" t="s">
        <v>330</v>
      </c>
      <c r="I57" s="5" t="s">
        <v>330</v>
      </c>
      <c r="J57" s="4"/>
      <c r="K57" s="4">
        <f t="shared" si="1"/>
        <v>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45" x14ac:dyDescent="0.25">
      <c r="A58" s="4" t="s">
        <v>395</v>
      </c>
      <c r="B58" s="4" t="s">
        <v>327</v>
      </c>
      <c r="C58" s="4" t="s">
        <v>345</v>
      </c>
      <c r="D58" s="5" t="s">
        <v>330</v>
      </c>
      <c r="E58" s="5" t="s">
        <v>330</v>
      </c>
      <c r="F58" s="5" t="s">
        <v>330</v>
      </c>
      <c r="G58" s="5" t="s">
        <v>330</v>
      </c>
      <c r="H58" s="5" t="s">
        <v>330</v>
      </c>
      <c r="I58" s="5" t="s">
        <v>330</v>
      </c>
      <c r="J58" s="4"/>
      <c r="K58" s="4">
        <f t="shared" si="1"/>
        <v>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45" x14ac:dyDescent="0.25">
      <c r="A59" s="4" t="s">
        <v>396</v>
      </c>
      <c r="B59" s="4" t="s">
        <v>327</v>
      </c>
      <c r="C59" s="4" t="s">
        <v>339</v>
      </c>
      <c r="D59" s="5" t="s">
        <v>330</v>
      </c>
      <c r="E59" s="4">
        <v>1</v>
      </c>
      <c r="F59" s="4">
        <v>1</v>
      </c>
      <c r="G59" s="5" t="s">
        <v>330</v>
      </c>
      <c r="H59" s="5" t="s">
        <v>330</v>
      </c>
      <c r="I59" s="5" t="s">
        <v>330</v>
      </c>
      <c r="J59" s="4"/>
      <c r="K59" s="4">
        <f t="shared" si="1"/>
        <v>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 x14ac:dyDescent="0.25">
      <c r="A60" s="4" t="s">
        <v>397</v>
      </c>
      <c r="B60" s="4" t="s">
        <v>327</v>
      </c>
      <c r="C60" s="4" t="s">
        <v>334</v>
      </c>
      <c r="D60" s="5" t="s">
        <v>330</v>
      </c>
      <c r="E60" s="4">
        <v>1</v>
      </c>
      <c r="F60" s="4">
        <v>1</v>
      </c>
      <c r="G60" s="5" t="s">
        <v>330</v>
      </c>
      <c r="H60" s="5" t="s">
        <v>330</v>
      </c>
      <c r="I60" s="5" t="s">
        <v>330</v>
      </c>
      <c r="J60" s="4"/>
      <c r="K60" s="4">
        <f t="shared" si="1"/>
        <v>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 x14ac:dyDescent="0.25">
      <c r="A61" s="4" t="s">
        <v>398</v>
      </c>
      <c r="B61" s="4" t="s">
        <v>327</v>
      </c>
      <c r="C61" s="4" t="s">
        <v>334</v>
      </c>
      <c r="D61" s="4" t="s">
        <v>339</v>
      </c>
      <c r="E61" s="4">
        <v>1</v>
      </c>
      <c r="F61" s="4">
        <v>1</v>
      </c>
      <c r="G61" s="5" t="s">
        <v>330</v>
      </c>
      <c r="H61" s="5" t="s">
        <v>330</v>
      </c>
      <c r="I61" s="5" t="s">
        <v>330</v>
      </c>
      <c r="J61" s="4"/>
      <c r="K61" s="4">
        <f t="shared" si="1"/>
        <v>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 x14ac:dyDescent="0.25">
      <c r="A62" s="4" t="s">
        <v>399</v>
      </c>
      <c r="B62" s="4" t="s">
        <v>327</v>
      </c>
      <c r="C62" s="4" t="s">
        <v>334</v>
      </c>
      <c r="D62" s="5" t="s">
        <v>330</v>
      </c>
      <c r="E62" s="4">
        <v>1</v>
      </c>
      <c r="F62" s="4">
        <v>1</v>
      </c>
      <c r="G62" s="5" t="s">
        <v>330</v>
      </c>
      <c r="H62" s="5" t="s">
        <v>330</v>
      </c>
      <c r="I62" s="5" t="s">
        <v>330</v>
      </c>
      <c r="J62" s="4"/>
      <c r="K62" s="4">
        <f t="shared" si="1"/>
        <v>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45" x14ac:dyDescent="0.25">
      <c r="A63" s="4" t="s">
        <v>400</v>
      </c>
      <c r="B63" s="4" t="s">
        <v>327</v>
      </c>
      <c r="C63" s="4" t="s">
        <v>345</v>
      </c>
      <c r="D63" s="5" t="s">
        <v>330</v>
      </c>
      <c r="E63" s="4">
        <v>1</v>
      </c>
      <c r="F63" s="4">
        <v>1</v>
      </c>
      <c r="G63" s="5" t="s">
        <v>330</v>
      </c>
      <c r="H63" s="5" t="s">
        <v>330</v>
      </c>
      <c r="I63" s="5" t="s">
        <v>401</v>
      </c>
      <c r="J63" s="4"/>
      <c r="K63" s="4">
        <f t="shared" si="1"/>
        <v>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45" x14ac:dyDescent="0.25">
      <c r="A64" s="4" t="s">
        <v>402</v>
      </c>
      <c r="B64" s="4" t="s">
        <v>327</v>
      </c>
      <c r="C64" s="4" t="s">
        <v>337</v>
      </c>
      <c r="D64" s="5" t="s">
        <v>330</v>
      </c>
      <c r="E64" s="4">
        <v>1</v>
      </c>
      <c r="F64" s="4">
        <v>1</v>
      </c>
      <c r="G64" s="5" t="s">
        <v>330</v>
      </c>
      <c r="H64" s="5" t="s">
        <v>330</v>
      </c>
      <c r="I64" s="5" t="s">
        <v>330</v>
      </c>
      <c r="J64" s="4"/>
      <c r="K64" s="4">
        <f t="shared" si="1"/>
        <v>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45" x14ac:dyDescent="0.25">
      <c r="A65" s="4" t="s">
        <v>402</v>
      </c>
      <c r="B65" s="4" t="s">
        <v>327</v>
      </c>
      <c r="C65" s="4" t="s">
        <v>337</v>
      </c>
      <c r="D65" s="4" t="s">
        <v>339</v>
      </c>
      <c r="E65" s="4">
        <v>1</v>
      </c>
      <c r="F65" s="4">
        <v>1</v>
      </c>
      <c r="G65" s="5" t="s">
        <v>330</v>
      </c>
      <c r="H65" s="5" t="s">
        <v>330</v>
      </c>
      <c r="I65" s="5" t="s">
        <v>330</v>
      </c>
      <c r="J65" s="4"/>
      <c r="K65" s="4">
        <f t="shared" si="1"/>
        <v>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spans="1:45" x14ac:dyDescent="0.25">
      <c r="A66" s="4" t="s">
        <v>402</v>
      </c>
      <c r="B66" s="4" t="s">
        <v>327</v>
      </c>
      <c r="C66" s="4" t="s">
        <v>339</v>
      </c>
      <c r="D66" s="5" t="s">
        <v>330</v>
      </c>
      <c r="E66" s="4">
        <v>1</v>
      </c>
      <c r="F66" s="4">
        <v>1</v>
      </c>
      <c r="G66" s="5" t="s">
        <v>330</v>
      </c>
      <c r="H66" s="5" t="s">
        <v>330</v>
      </c>
      <c r="I66" s="5" t="s">
        <v>330</v>
      </c>
      <c r="J66" s="4"/>
      <c r="K66" s="4">
        <f t="shared" ref="K66:K97" si="2">COUNTIF(L66:BD66,"&gt;0")</f>
        <v>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spans="1:45" x14ac:dyDescent="0.25">
      <c r="A67" s="4" t="s">
        <v>403</v>
      </c>
      <c r="B67" s="4" t="s">
        <v>352</v>
      </c>
      <c r="C67" s="4" t="s">
        <v>332</v>
      </c>
      <c r="D67" s="5" t="s">
        <v>330</v>
      </c>
      <c r="E67" s="5" t="s">
        <v>330</v>
      </c>
      <c r="F67" s="5" t="s">
        <v>330</v>
      </c>
      <c r="G67" s="5" t="s">
        <v>330</v>
      </c>
      <c r="H67" s="5" t="s">
        <v>330</v>
      </c>
      <c r="I67" s="5" t="s">
        <v>330</v>
      </c>
      <c r="J67" s="4"/>
      <c r="K67" s="4">
        <f t="shared" si="2"/>
        <v>0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spans="1:45" x14ac:dyDescent="0.25">
      <c r="A68" s="4" t="s">
        <v>404</v>
      </c>
      <c r="B68" s="4" t="s">
        <v>327</v>
      </c>
      <c r="C68" s="4" t="s">
        <v>334</v>
      </c>
      <c r="D68" s="5" t="s">
        <v>337</v>
      </c>
      <c r="E68" s="4">
        <v>1</v>
      </c>
      <c r="F68" s="4">
        <v>1</v>
      </c>
      <c r="G68" s="5" t="s">
        <v>330</v>
      </c>
      <c r="H68" s="5" t="s">
        <v>330</v>
      </c>
      <c r="I68" s="5" t="s">
        <v>330</v>
      </c>
      <c r="J68" s="4"/>
      <c r="K68" s="4">
        <f t="shared" si="2"/>
        <v>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spans="1:45" x14ac:dyDescent="0.25">
      <c r="A69" s="4" t="s">
        <v>405</v>
      </c>
      <c r="B69" s="4" t="s">
        <v>327</v>
      </c>
      <c r="C69" s="4" t="s">
        <v>334</v>
      </c>
      <c r="D69" s="5" t="s">
        <v>330</v>
      </c>
      <c r="E69" s="5">
        <v>2</v>
      </c>
      <c r="F69" s="5">
        <v>2</v>
      </c>
      <c r="G69" s="5" t="s">
        <v>371</v>
      </c>
      <c r="H69" s="5" t="s">
        <v>330</v>
      </c>
      <c r="I69" s="5" t="s">
        <v>330</v>
      </c>
      <c r="J69" s="4"/>
      <c r="K69" s="4">
        <f t="shared" si="2"/>
        <v>0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spans="1:45" x14ac:dyDescent="0.25">
      <c r="A70" s="4" t="s">
        <v>406</v>
      </c>
      <c r="B70" s="4" t="s">
        <v>327</v>
      </c>
      <c r="C70" s="4" t="s">
        <v>329</v>
      </c>
      <c r="D70" s="5" t="s">
        <v>330</v>
      </c>
      <c r="E70" s="5">
        <v>0</v>
      </c>
      <c r="F70" s="5">
        <v>1</v>
      </c>
      <c r="G70" s="5" t="s">
        <v>330</v>
      </c>
      <c r="H70" s="5" t="s">
        <v>330</v>
      </c>
      <c r="I70" s="5" t="s">
        <v>330</v>
      </c>
      <c r="J70" s="4"/>
      <c r="K70" s="4">
        <f t="shared" si="2"/>
        <v>0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spans="1:45" x14ac:dyDescent="0.25">
      <c r="A71" s="4" t="s">
        <v>407</v>
      </c>
      <c r="B71" s="4" t="s">
        <v>327</v>
      </c>
      <c r="C71" s="4" t="s">
        <v>334</v>
      </c>
      <c r="D71" s="5" t="s">
        <v>330</v>
      </c>
      <c r="E71" s="4">
        <v>1</v>
      </c>
      <c r="F71" s="4">
        <v>1</v>
      </c>
      <c r="G71" s="5" t="s">
        <v>330</v>
      </c>
      <c r="H71" s="5" t="s">
        <v>330</v>
      </c>
      <c r="I71" s="5" t="s">
        <v>330</v>
      </c>
      <c r="J71" s="4"/>
      <c r="K71" s="4">
        <f t="shared" si="2"/>
        <v>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spans="1:45" x14ac:dyDescent="0.25">
      <c r="A72" s="4" t="s">
        <v>408</v>
      </c>
      <c r="B72" s="4" t="s">
        <v>327</v>
      </c>
      <c r="C72" s="4" t="s">
        <v>345</v>
      </c>
      <c r="D72" s="5" t="s">
        <v>330</v>
      </c>
      <c r="E72" s="4">
        <v>1</v>
      </c>
      <c r="F72" s="4">
        <v>1</v>
      </c>
      <c r="G72" s="4" t="s">
        <v>373</v>
      </c>
      <c r="H72" s="5" t="s">
        <v>330</v>
      </c>
      <c r="I72" s="5" t="s">
        <v>330</v>
      </c>
      <c r="J72" s="4"/>
      <c r="K72" s="4">
        <f t="shared" si="2"/>
        <v>0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spans="1:45" x14ac:dyDescent="0.25">
      <c r="A73" s="4" t="s">
        <v>408</v>
      </c>
      <c r="B73" s="4" t="s">
        <v>327</v>
      </c>
      <c r="C73" s="4" t="s">
        <v>345</v>
      </c>
      <c r="D73" s="5" t="s">
        <v>330</v>
      </c>
      <c r="E73" s="4">
        <v>8</v>
      </c>
      <c r="F73" s="4">
        <v>8</v>
      </c>
      <c r="G73" s="5" t="s">
        <v>330</v>
      </c>
      <c r="H73" s="5" t="s">
        <v>330</v>
      </c>
      <c r="I73" s="5" t="s">
        <v>330</v>
      </c>
      <c r="J73" s="4"/>
      <c r="K73" s="4">
        <f t="shared" si="2"/>
        <v>0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spans="1:45" x14ac:dyDescent="0.25">
      <c r="A74" s="4" t="s">
        <v>409</v>
      </c>
      <c r="B74" s="4" t="s">
        <v>352</v>
      </c>
      <c r="C74" s="4" t="s">
        <v>332</v>
      </c>
      <c r="D74" s="5" t="s">
        <v>330</v>
      </c>
      <c r="E74" s="5" t="s">
        <v>330</v>
      </c>
      <c r="F74" s="5" t="s">
        <v>330</v>
      </c>
      <c r="G74" s="5" t="s">
        <v>330</v>
      </c>
      <c r="H74" s="5" t="s">
        <v>330</v>
      </c>
      <c r="I74" s="5" t="s">
        <v>330</v>
      </c>
      <c r="J74" s="4"/>
      <c r="K74" s="4">
        <f t="shared" si="2"/>
        <v>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spans="1:45" x14ac:dyDescent="0.25">
      <c r="A75" s="4" t="s">
        <v>410</v>
      </c>
      <c r="B75" s="4" t="s">
        <v>327</v>
      </c>
      <c r="C75" s="4" t="s">
        <v>337</v>
      </c>
      <c r="D75" s="5" t="s">
        <v>330</v>
      </c>
      <c r="E75" s="5">
        <v>3</v>
      </c>
      <c r="F75" s="5">
        <v>3</v>
      </c>
      <c r="G75" s="5" t="s">
        <v>330</v>
      </c>
      <c r="H75" s="5" t="s">
        <v>330</v>
      </c>
      <c r="I75" s="5" t="s">
        <v>330</v>
      </c>
      <c r="J75" s="4"/>
      <c r="K75" s="4">
        <f t="shared" si="2"/>
        <v>0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spans="1:45" x14ac:dyDescent="0.25">
      <c r="A76" s="4" t="s">
        <v>411</v>
      </c>
      <c r="B76" s="4" t="s">
        <v>347</v>
      </c>
      <c r="C76" s="5" t="s">
        <v>330</v>
      </c>
      <c r="D76" s="5" t="s">
        <v>330</v>
      </c>
      <c r="E76" s="5" t="s">
        <v>330</v>
      </c>
      <c r="F76" s="5" t="s">
        <v>330</v>
      </c>
      <c r="G76" s="5" t="s">
        <v>330</v>
      </c>
      <c r="H76" s="5" t="s">
        <v>330</v>
      </c>
      <c r="I76" s="5" t="s">
        <v>330</v>
      </c>
      <c r="J76" s="4"/>
      <c r="K76" s="4">
        <f t="shared" si="2"/>
        <v>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spans="1:45" x14ac:dyDescent="0.25">
      <c r="A77" s="4" t="s">
        <v>412</v>
      </c>
      <c r="B77" s="4" t="s">
        <v>352</v>
      </c>
      <c r="C77" s="4" t="s">
        <v>332</v>
      </c>
      <c r="D77" s="5" t="s">
        <v>330</v>
      </c>
      <c r="E77" s="5" t="s">
        <v>330</v>
      </c>
      <c r="F77" s="5" t="s">
        <v>330</v>
      </c>
      <c r="G77" s="5" t="s">
        <v>330</v>
      </c>
      <c r="H77" s="5" t="s">
        <v>330</v>
      </c>
      <c r="I77" s="5" t="s">
        <v>330</v>
      </c>
      <c r="J77" s="4"/>
      <c r="K77" s="4">
        <f t="shared" si="2"/>
        <v>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spans="1:45" x14ac:dyDescent="0.25">
      <c r="A78" s="4" t="s">
        <v>414</v>
      </c>
      <c r="B78" s="4" t="s">
        <v>413</v>
      </c>
      <c r="C78" s="4" t="s">
        <v>329</v>
      </c>
      <c r="D78" s="5" t="s">
        <v>330</v>
      </c>
      <c r="E78" s="5" t="s">
        <v>330</v>
      </c>
      <c r="F78" s="5" t="s">
        <v>330</v>
      </c>
      <c r="G78" s="5" t="s">
        <v>330</v>
      </c>
      <c r="H78" s="5" t="s">
        <v>330</v>
      </c>
      <c r="I78" s="5" t="s">
        <v>415</v>
      </c>
      <c r="J78" s="4"/>
      <c r="K78" s="4">
        <f t="shared" si="2"/>
        <v>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spans="1:45" x14ac:dyDescent="0.25">
      <c r="A79" s="4" t="s">
        <v>416</v>
      </c>
      <c r="B79" s="4" t="s">
        <v>327</v>
      </c>
      <c r="C79" s="4" t="s">
        <v>345</v>
      </c>
      <c r="D79" s="5" t="s">
        <v>330</v>
      </c>
      <c r="E79" s="4">
        <v>1</v>
      </c>
      <c r="F79" s="4">
        <v>1</v>
      </c>
      <c r="G79" s="4" t="s">
        <v>417</v>
      </c>
      <c r="H79" s="5" t="s">
        <v>330</v>
      </c>
      <c r="I79" s="5" t="s">
        <v>330</v>
      </c>
      <c r="J79" s="4"/>
      <c r="K79" s="4">
        <f t="shared" si="2"/>
        <v>0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spans="1:45" x14ac:dyDescent="0.25">
      <c r="A80" s="4" t="s">
        <v>416</v>
      </c>
      <c r="B80" s="4" t="s">
        <v>327</v>
      </c>
      <c r="C80" s="4" t="s">
        <v>345</v>
      </c>
      <c r="D80" s="5" t="s">
        <v>330</v>
      </c>
      <c r="E80" s="4">
        <v>1</v>
      </c>
      <c r="F80" s="4">
        <v>1</v>
      </c>
      <c r="G80" s="5" t="s">
        <v>330</v>
      </c>
      <c r="H80" s="5" t="s">
        <v>330</v>
      </c>
      <c r="I80" s="5" t="s">
        <v>330</v>
      </c>
      <c r="J80" s="4"/>
      <c r="K80" s="4">
        <f t="shared" si="2"/>
        <v>0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spans="1:45" x14ac:dyDescent="0.25">
      <c r="A81" s="4" t="s">
        <v>418</v>
      </c>
      <c r="B81" s="4" t="s">
        <v>327</v>
      </c>
      <c r="C81" s="4" t="s">
        <v>334</v>
      </c>
      <c r="D81" s="5" t="s">
        <v>330</v>
      </c>
      <c r="E81" s="4">
        <v>1</v>
      </c>
      <c r="F81" s="4">
        <v>1</v>
      </c>
      <c r="G81" s="5" t="s">
        <v>330</v>
      </c>
      <c r="H81" s="5" t="s">
        <v>330</v>
      </c>
      <c r="I81" s="5" t="s">
        <v>419</v>
      </c>
      <c r="J81" s="4"/>
      <c r="K81" s="4">
        <f t="shared" si="2"/>
        <v>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spans="1:45" x14ac:dyDescent="0.25">
      <c r="A82" s="4" t="s">
        <v>420</v>
      </c>
      <c r="B82" s="4" t="s">
        <v>352</v>
      </c>
      <c r="C82" s="4" t="s">
        <v>332</v>
      </c>
      <c r="D82" s="5" t="s">
        <v>330</v>
      </c>
      <c r="E82" s="5" t="s">
        <v>330</v>
      </c>
      <c r="F82" s="5" t="s">
        <v>330</v>
      </c>
      <c r="G82" s="5" t="s">
        <v>330</v>
      </c>
      <c r="H82" s="5" t="s">
        <v>330</v>
      </c>
      <c r="I82" s="5" t="s">
        <v>330</v>
      </c>
      <c r="J82" s="4"/>
      <c r="K82" s="4">
        <f t="shared" si="2"/>
        <v>0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spans="1:45" x14ac:dyDescent="0.25">
      <c r="A83" s="4" t="s">
        <v>422</v>
      </c>
      <c r="B83" s="4" t="s">
        <v>421</v>
      </c>
      <c r="C83" s="4" t="s">
        <v>332</v>
      </c>
      <c r="D83" s="5" t="s">
        <v>330</v>
      </c>
      <c r="E83" s="5" t="s">
        <v>330</v>
      </c>
      <c r="F83" s="5" t="s">
        <v>330</v>
      </c>
      <c r="G83" s="5" t="s">
        <v>330</v>
      </c>
      <c r="H83" s="5" t="s">
        <v>330</v>
      </c>
      <c r="I83" s="5" t="s">
        <v>330</v>
      </c>
      <c r="J83" s="4"/>
      <c r="K83" s="4">
        <f t="shared" si="2"/>
        <v>0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spans="1:45" x14ac:dyDescent="0.25">
      <c r="A84" s="4" t="s">
        <v>423</v>
      </c>
      <c r="B84" s="4" t="s">
        <v>327</v>
      </c>
      <c r="C84" s="4" t="s">
        <v>339</v>
      </c>
      <c r="D84" s="5" t="s">
        <v>330</v>
      </c>
      <c r="E84" s="4">
        <v>2</v>
      </c>
      <c r="F84" s="4">
        <v>2</v>
      </c>
      <c r="G84" s="5" t="s">
        <v>330</v>
      </c>
      <c r="H84" s="5" t="s">
        <v>330</v>
      </c>
      <c r="I84" s="5" t="s">
        <v>330</v>
      </c>
      <c r="J84" s="4"/>
      <c r="K84" s="4">
        <f t="shared" si="2"/>
        <v>0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spans="1:45" x14ac:dyDescent="0.25">
      <c r="A85" s="4" t="s">
        <v>424</v>
      </c>
      <c r="B85" s="4" t="s">
        <v>327</v>
      </c>
      <c r="C85" s="4" t="s">
        <v>329</v>
      </c>
      <c r="D85" s="5" t="s">
        <v>330</v>
      </c>
      <c r="E85" s="4">
        <v>3</v>
      </c>
      <c r="F85" s="4">
        <v>3</v>
      </c>
      <c r="G85" s="5" t="s">
        <v>330</v>
      </c>
      <c r="H85" s="5" t="s">
        <v>330</v>
      </c>
      <c r="I85" s="5" t="s">
        <v>330</v>
      </c>
      <c r="J85" s="4"/>
      <c r="K85" s="4">
        <f t="shared" si="2"/>
        <v>0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spans="1:45" x14ac:dyDescent="0.25">
      <c r="A86" s="4" t="s">
        <v>425</v>
      </c>
      <c r="B86" s="4" t="s">
        <v>327</v>
      </c>
      <c r="C86" s="4" t="s">
        <v>339</v>
      </c>
      <c r="D86" s="5" t="s">
        <v>337</v>
      </c>
      <c r="E86" s="4">
        <v>1</v>
      </c>
      <c r="F86" s="4">
        <v>1</v>
      </c>
      <c r="G86" s="5" t="s">
        <v>330</v>
      </c>
      <c r="H86" s="5" t="s">
        <v>330</v>
      </c>
      <c r="I86" s="5" t="s">
        <v>426</v>
      </c>
      <c r="J86" s="4"/>
      <c r="K86" s="4">
        <f t="shared" si="2"/>
        <v>0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spans="1:45" x14ac:dyDescent="0.25">
      <c r="A87" s="4" t="s">
        <v>427</v>
      </c>
      <c r="B87" s="4" t="s">
        <v>327</v>
      </c>
      <c r="C87" s="4" t="s">
        <v>332</v>
      </c>
      <c r="D87" s="5" t="s">
        <v>330</v>
      </c>
      <c r="E87" s="5">
        <v>1</v>
      </c>
      <c r="F87" s="5">
        <v>1</v>
      </c>
      <c r="G87" s="5" t="s">
        <v>330</v>
      </c>
      <c r="H87" s="5" t="s">
        <v>330</v>
      </c>
      <c r="I87" s="5" t="s">
        <v>330</v>
      </c>
      <c r="J87" s="4"/>
      <c r="K87" s="4">
        <f t="shared" si="2"/>
        <v>0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spans="1:45" x14ac:dyDescent="0.25">
      <c r="A88" s="4" t="s">
        <v>428</v>
      </c>
      <c r="B88" s="4" t="s">
        <v>327</v>
      </c>
      <c r="C88" s="4" t="s">
        <v>345</v>
      </c>
      <c r="D88" s="5" t="s">
        <v>330</v>
      </c>
      <c r="E88" s="4">
        <v>2</v>
      </c>
      <c r="F88" s="4">
        <v>1</v>
      </c>
      <c r="G88" s="5" t="s">
        <v>330</v>
      </c>
      <c r="H88" s="5" t="s">
        <v>330</v>
      </c>
      <c r="I88" s="5" t="s">
        <v>330</v>
      </c>
      <c r="J88" s="4"/>
      <c r="K88" s="4">
        <f t="shared" si="2"/>
        <v>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spans="1:45" x14ac:dyDescent="0.25">
      <c r="A89" s="4" t="s">
        <v>429</v>
      </c>
      <c r="B89" s="4" t="s">
        <v>327</v>
      </c>
      <c r="C89" s="4" t="s">
        <v>332</v>
      </c>
      <c r="D89" s="5" t="s">
        <v>330</v>
      </c>
      <c r="E89" s="4">
        <v>1</v>
      </c>
      <c r="F89" s="4">
        <v>1</v>
      </c>
      <c r="G89" s="5" t="s">
        <v>330</v>
      </c>
      <c r="H89" s="5" t="s">
        <v>330</v>
      </c>
      <c r="I89" s="5" t="s">
        <v>430</v>
      </c>
      <c r="J89" s="4"/>
      <c r="K89" s="4">
        <f t="shared" si="2"/>
        <v>0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spans="1:45" x14ac:dyDescent="0.25">
      <c r="A90" s="4" t="s">
        <v>431</v>
      </c>
      <c r="B90" s="4" t="s">
        <v>327</v>
      </c>
      <c r="C90" s="4" t="s">
        <v>332</v>
      </c>
      <c r="D90" s="5" t="s">
        <v>330</v>
      </c>
      <c r="E90" s="4">
        <v>2</v>
      </c>
      <c r="F90" s="4">
        <v>2</v>
      </c>
      <c r="G90" s="5" t="s">
        <v>330</v>
      </c>
      <c r="H90" s="5" t="s">
        <v>330</v>
      </c>
      <c r="I90" s="5" t="s">
        <v>330</v>
      </c>
      <c r="J90" s="4"/>
      <c r="K90" s="4">
        <f t="shared" si="2"/>
        <v>0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spans="1:45" x14ac:dyDescent="0.25">
      <c r="A91" s="4" t="s">
        <v>432</v>
      </c>
      <c r="B91" s="4" t="s">
        <v>327</v>
      </c>
      <c r="C91" s="4" t="s">
        <v>337</v>
      </c>
      <c r="D91" s="5" t="s">
        <v>330</v>
      </c>
      <c r="E91" s="4">
        <v>0</v>
      </c>
      <c r="F91" s="4">
        <v>1</v>
      </c>
      <c r="G91" s="5" t="s">
        <v>330</v>
      </c>
      <c r="H91" s="5" t="s">
        <v>330</v>
      </c>
      <c r="I91" s="5" t="s">
        <v>330</v>
      </c>
      <c r="J91" s="4"/>
      <c r="K91" s="4">
        <f t="shared" si="2"/>
        <v>0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spans="1:45" x14ac:dyDescent="0.25">
      <c r="A92" s="4" t="s">
        <v>432</v>
      </c>
      <c r="B92" s="4" t="s">
        <v>327</v>
      </c>
      <c r="C92" s="4" t="s">
        <v>337</v>
      </c>
      <c r="D92" s="5" t="s">
        <v>330</v>
      </c>
      <c r="E92" s="5">
        <v>1</v>
      </c>
      <c r="F92" s="5">
        <v>1</v>
      </c>
      <c r="G92" s="5" t="s">
        <v>330</v>
      </c>
      <c r="H92" s="5" t="s">
        <v>330</v>
      </c>
      <c r="I92" s="5" t="s">
        <v>330</v>
      </c>
      <c r="J92" s="4"/>
      <c r="K92" s="4">
        <f t="shared" si="2"/>
        <v>0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spans="1:45" x14ac:dyDescent="0.25">
      <c r="A93" s="4" t="s">
        <v>433</v>
      </c>
      <c r="B93" s="4" t="s">
        <v>352</v>
      </c>
      <c r="C93" s="4" t="s">
        <v>332</v>
      </c>
      <c r="D93" s="5" t="s">
        <v>330</v>
      </c>
      <c r="E93" s="5" t="s">
        <v>330</v>
      </c>
      <c r="F93" s="5" t="s">
        <v>330</v>
      </c>
      <c r="G93" s="5" t="s">
        <v>330</v>
      </c>
      <c r="H93" s="5" t="s">
        <v>330</v>
      </c>
      <c r="I93" s="5" t="s">
        <v>330</v>
      </c>
      <c r="J93" s="4"/>
      <c r="K93" s="4">
        <f t="shared" si="2"/>
        <v>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spans="1:45" x14ac:dyDescent="0.25">
      <c r="A94" s="4" t="s">
        <v>434</v>
      </c>
      <c r="B94" s="4" t="s">
        <v>327</v>
      </c>
      <c r="C94" s="4" t="s">
        <v>334</v>
      </c>
      <c r="D94" s="5" t="s">
        <v>330</v>
      </c>
      <c r="E94" s="5">
        <v>1</v>
      </c>
      <c r="F94" s="5">
        <v>1</v>
      </c>
      <c r="G94" s="5" t="s">
        <v>330</v>
      </c>
      <c r="H94" s="5" t="s">
        <v>330</v>
      </c>
      <c r="I94" s="5" t="s">
        <v>330</v>
      </c>
      <c r="J94" s="4">
        <v>1</v>
      </c>
      <c r="K94" s="4">
        <f t="shared" si="2"/>
        <v>1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>
        <v>2</v>
      </c>
      <c r="AP94" s="4"/>
      <c r="AQ94" s="4"/>
      <c r="AR94" s="4"/>
      <c r="AS94" s="4"/>
    </row>
    <row r="95" spans="1:45" x14ac:dyDescent="0.25">
      <c r="A95" s="4" t="s">
        <v>435</v>
      </c>
      <c r="B95" s="4" t="s">
        <v>327</v>
      </c>
      <c r="C95" s="4" t="s">
        <v>339</v>
      </c>
      <c r="D95" s="5" t="s">
        <v>330</v>
      </c>
      <c r="E95" s="4">
        <v>1</v>
      </c>
      <c r="F95" s="4">
        <v>1</v>
      </c>
      <c r="G95" s="5" t="s">
        <v>330</v>
      </c>
      <c r="H95" s="5" t="s">
        <v>330</v>
      </c>
      <c r="I95" s="5" t="s">
        <v>330</v>
      </c>
      <c r="J95" s="4"/>
      <c r="K95" s="4">
        <f t="shared" si="2"/>
        <v>0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spans="1:45" x14ac:dyDescent="0.25">
      <c r="A96" s="4" t="s">
        <v>436</v>
      </c>
      <c r="B96" s="4" t="s">
        <v>327</v>
      </c>
      <c r="C96" s="4" t="s">
        <v>329</v>
      </c>
      <c r="D96" s="5" t="s">
        <v>330</v>
      </c>
      <c r="E96" s="4">
        <v>2</v>
      </c>
      <c r="F96" s="4">
        <v>2</v>
      </c>
      <c r="G96" s="5" t="s">
        <v>330</v>
      </c>
      <c r="H96" s="5" t="s">
        <v>330</v>
      </c>
      <c r="I96" s="5" t="s">
        <v>330</v>
      </c>
      <c r="J96" s="4"/>
      <c r="K96" s="4">
        <f t="shared" si="2"/>
        <v>0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spans="1:45" x14ac:dyDescent="0.25">
      <c r="A97" s="4" t="s">
        <v>437</v>
      </c>
      <c r="B97" s="4" t="s">
        <v>327</v>
      </c>
      <c r="C97" s="4" t="s">
        <v>337</v>
      </c>
      <c r="D97" s="5" t="s">
        <v>330</v>
      </c>
      <c r="E97" s="5">
        <v>4</v>
      </c>
      <c r="F97" s="5">
        <v>4</v>
      </c>
      <c r="G97" s="5" t="s">
        <v>330</v>
      </c>
      <c r="H97" s="5" t="s">
        <v>330</v>
      </c>
      <c r="I97" s="5" t="s">
        <v>330</v>
      </c>
      <c r="J97" s="4"/>
      <c r="K97" s="4">
        <f t="shared" si="2"/>
        <v>0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spans="1:45" x14ac:dyDescent="0.25">
      <c r="A98" s="4" t="s">
        <v>438</v>
      </c>
      <c r="B98" s="4" t="s">
        <v>327</v>
      </c>
      <c r="C98" s="4" t="s">
        <v>345</v>
      </c>
      <c r="D98" s="5" t="s">
        <v>330</v>
      </c>
      <c r="E98" s="5">
        <v>4</v>
      </c>
      <c r="F98" s="5">
        <v>3</v>
      </c>
      <c r="G98" s="5" t="s">
        <v>330</v>
      </c>
      <c r="H98" s="5" t="s">
        <v>330</v>
      </c>
      <c r="I98" s="5" t="s">
        <v>330</v>
      </c>
      <c r="J98" s="4"/>
      <c r="K98" s="4">
        <f t="shared" ref="K98:K129" si="3">COUNTIF(L98:BD98,"&gt;0")</f>
        <v>0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spans="1:45" x14ac:dyDescent="0.25">
      <c r="A99" s="4" t="s">
        <v>439</v>
      </c>
      <c r="B99" s="4" t="s">
        <v>327</v>
      </c>
      <c r="C99" s="4" t="s">
        <v>337</v>
      </c>
      <c r="D99" s="5" t="s">
        <v>330</v>
      </c>
      <c r="E99" s="4">
        <v>1</v>
      </c>
      <c r="F99" s="4">
        <v>1</v>
      </c>
      <c r="G99" s="5" t="s">
        <v>330</v>
      </c>
      <c r="H99" s="5" t="s">
        <v>330</v>
      </c>
      <c r="I99" s="5" t="s">
        <v>330</v>
      </c>
      <c r="J99" s="4"/>
      <c r="K99" s="4">
        <f t="shared" si="3"/>
        <v>0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spans="1:45" x14ac:dyDescent="0.25">
      <c r="A100" s="4" t="s">
        <v>440</v>
      </c>
      <c r="B100" s="4" t="s">
        <v>327</v>
      </c>
      <c r="C100" s="4" t="s">
        <v>332</v>
      </c>
      <c r="D100" s="5" t="s">
        <v>330</v>
      </c>
      <c r="E100" s="4">
        <v>2</v>
      </c>
      <c r="F100" s="4">
        <v>2</v>
      </c>
      <c r="G100" s="5" t="s">
        <v>330</v>
      </c>
      <c r="H100" s="5" t="s">
        <v>330</v>
      </c>
      <c r="I100" s="5" t="s">
        <v>330</v>
      </c>
      <c r="J100" s="4"/>
      <c r="K100" s="4">
        <f t="shared" si="3"/>
        <v>0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spans="1:45" x14ac:dyDescent="0.25">
      <c r="A101" s="4" t="s">
        <v>441</v>
      </c>
      <c r="B101" s="4" t="s">
        <v>327</v>
      </c>
      <c r="C101" s="4" t="s">
        <v>337</v>
      </c>
      <c r="D101" s="5" t="s">
        <v>330</v>
      </c>
      <c r="E101" s="5" t="s">
        <v>330</v>
      </c>
      <c r="F101" s="5" t="s">
        <v>330</v>
      </c>
      <c r="G101" s="5" t="s">
        <v>330</v>
      </c>
      <c r="H101" s="5" t="s">
        <v>330</v>
      </c>
      <c r="I101" s="5" t="s">
        <v>330</v>
      </c>
      <c r="J101" s="4"/>
      <c r="K101" s="4">
        <f t="shared" si="3"/>
        <v>0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spans="1:45" x14ac:dyDescent="0.25">
      <c r="A102" s="4" t="s">
        <v>442</v>
      </c>
      <c r="B102" s="4" t="s">
        <v>327</v>
      </c>
      <c r="C102" s="4" t="s">
        <v>332</v>
      </c>
      <c r="D102" s="5" t="s">
        <v>330</v>
      </c>
      <c r="E102" s="4">
        <v>1</v>
      </c>
      <c r="F102" s="4">
        <v>1</v>
      </c>
      <c r="G102" s="5" t="s">
        <v>330</v>
      </c>
      <c r="H102" s="5" t="s">
        <v>330</v>
      </c>
      <c r="I102" s="5" t="s">
        <v>330</v>
      </c>
      <c r="J102" s="4"/>
      <c r="K102" s="4">
        <f t="shared" si="3"/>
        <v>0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spans="1:45" x14ac:dyDescent="0.25">
      <c r="A103" s="4" t="s">
        <v>443</v>
      </c>
      <c r="B103" s="4" t="s">
        <v>327</v>
      </c>
      <c r="C103" s="4" t="s">
        <v>332</v>
      </c>
      <c r="D103" s="5" t="s">
        <v>330</v>
      </c>
      <c r="E103" s="4">
        <v>1</v>
      </c>
      <c r="F103" s="4">
        <v>1</v>
      </c>
      <c r="G103" s="5" t="s">
        <v>444</v>
      </c>
      <c r="H103" s="5" t="s">
        <v>330</v>
      </c>
      <c r="I103" s="5" t="s">
        <v>330</v>
      </c>
      <c r="J103" s="4"/>
      <c r="K103" s="4">
        <f t="shared" si="3"/>
        <v>0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spans="1:45" x14ac:dyDescent="0.25">
      <c r="A104" s="4" t="s">
        <v>443</v>
      </c>
      <c r="B104" s="4" t="s">
        <v>327</v>
      </c>
      <c r="C104" s="4" t="s">
        <v>345</v>
      </c>
      <c r="D104" s="5" t="s">
        <v>330</v>
      </c>
      <c r="E104" s="4">
        <v>2</v>
      </c>
      <c r="F104" s="4">
        <v>2</v>
      </c>
      <c r="G104" s="5" t="s">
        <v>444</v>
      </c>
      <c r="H104" s="5" t="s">
        <v>330</v>
      </c>
      <c r="I104" s="5" t="s">
        <v>330</v>
      </c>
      <c r="J104" s="4"/>
      <c r="K104" s="4">
        <f t="shared" si="3"/>
        <v>0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spans="1:45" x14ac:dyDescent="0.25">
      <c r="A105" s="4" t="s">
        <v>474</v>
      </c>
      <c r="B105" s="4" t="s">
        <v>327</v>
      </c>
      <c r="C105" s="4" t="s">
        <v>332</v>
      </c>
      <c r="D105" s="5" t="s">
        <v>330</v>
      </c>
      <c r="E105" s="4">
        <v>1</v>
      </c>
      <c r="F105" s="4">
        <v>1</v>
      </c>
      <c r="G105" s="5" t="s">
        <v>330</v>
      </c>
      <c r="H105" s="5" t="s">
        <v>330</v>
      </c>
      <c r="I105" s="5" t="s">
        <v>330</v>
      </c>
      <c r="J105" s="4"/>
      <c r="K105" s="4">
        <f t="shared" si="3"/>
        <v>0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spans="1:45" x14ac:dyDescent="0.25">
      <c r="A106" s="4" t="s">
        <v>445</v>
      </c>
      <c r="B106" s="4" t="s">
        <v>327</v>
      </c>
      <c r="C106" s="4" t="s">
        <v>339</v>
      </c>
      <c r="D106" s="5" t="s">
        <v>330</v>
      </c>
      <c r="E106" s="4">
        <v>1</v>
      </c>
      <c r="F106" s="4">
        <v>1</v>
      </c>
      <c r="G106" s="4" t="s">
        <v>446</v>
      </c>
      <c r="H106" s="5" t="s">
        <v>330</v>
      </c>
      <c r="I106" s="5" t="s">
        <v>330</v>
      </c>
      <c r="J106" s="4"/>
      <c r="K106" s="4">
        <f t="shared" si="3"/>
        <v>0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spans="1:45" x14ac:dyDescent="0.25">
      <c r="A107" s="4" t="s">
        <v>445</v>
      </c>
      <c r="B107" s="4" t="s">
        <v>327</v>
      </c>
      <c r="C107" s="4" t="s">
        <v>337</v>
      </c>
      <c r="D107" s="5" t="s">
        <v>330</v>
      </c>
      <c r="E107" s="4">
        <v>1</v>
      </c>
      <c r="F107" s="4">
        <v>1</v>
      </c>
      <c r="G107" s="4" t="s">
        <v>446</v>
      </c>
      <c r="H107" s="5" t="s">
        <v>330</v>
      </c>
      <c r="I107" s="5" t="s">
        <v>330</v>
      </c>
      <c r="J107" s="5"/>
      <c r="K107" s="4">
        <f t="shared" si="3"/>
        <v>0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spans="1:45" x14ac:dyDescent="0.25">
      <c r="A108" s="4" t="s">
        <v>447</v>
      </c>
      <c r="B108" s="4" t="s">
        <v>327</v>
      </c>
      <c r="C108" s="4" t="s">
        <v>334</v>
      </c>
      <c r="D108" s="5" t="s">
        <v>330</v>
      </c>
      <c r="E108" s="4">
        <v>1</v>
      </c>
      <c r="F108" s="4">
        <v>1</v>
      </c>
      <c r="G108" s="5" t="s">
        <v>330</v>
      </c>
      <c r="H108" s="5" t="s">
        <v>330</v>
      </c>
      <c r="I108" s="5" t="s">
        <v>330</v>
      </c>
      <c r="J108" s="4"/>
      <c r="K108" s="4">
        <f t="shared" si="3"/>
        <v>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spans="1:45" x14ac:dyDescent="0.25">
      <c r="A109" s="4" t="s">
        <v>447</v>
      </c>
      <c r="B109" s="4" t="s">
        <v>327</v>
      </c>
      <c r="C109" s="4" t="s">
        <v>334</v>
      </c>
      <c r="D109" s="5" t="s">
        <v>330</v>
      </c>
      <c r="E109" s="5">
        <v>1</v>
      </c>
      <c r="F109" s="5">
        <v>1</v>
      </c>
      <c r="G109" s="5" t="s">
        <v>449</v>
      </c>
      <c r="H109" s="5" t="s">
        <v>330</v>
      </c>
      <c r="I109" s="5" t="s">
        <v>330</v>
      </c>
      <c r="J109" s="4"/>
      <c r="K109" s="4">
        <f t="shared" si="3"/>
        <v>0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spans="1:45" x14ac:dyDescent="0.25">
      <c r="A110" s="4" t="s">
        <v>447</v>
      </c>
      <c r="B110" s="4" t="s">
        <v>327</v>
      </c>
      <c r="C110" s="4" t="s">
        <v>332</v>
      </c>
      <c r="D110" s="5" t="s">
        <v>330</v>
      </c>
      <c r="E110" s="4">
        <v>1</v>
      </c>
      <c r="F110" s="4">
        <v>1</v>
      </c>
      <c r="G110" s="5" t="s">
        <v>330</v>
      </c>
      <c r="H110" s="5" t="s">
        <v>330</v>
      </c>
      <c r="I110" s="5" t="s">
        <v>330</v>
      </c>
      <c r="J110" s="4"/>
      <c r="K110" s="4">
        <f t="shared" si="3"/>
        <v>0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spans="1:45" x14ac:dyDescent="0.25">
      <c r="A111" s="4" t="s">
        <v>447</v>
      </c>
      <c r="B111" s="4" t="s">
        <v>327</v>
      </c>
      <c r="C111" s="4" t="s">
        <v>329</v>
      </c>
      <c r="D111" s="5" t="s">
        <v>330</v>
      </c>
      <c r="E111" s="4">
        <v>2</v>
      </c>
      <c r="F111" s="4">
        <v>2</v>
      </c>
      <c r="G111" s="4" t="s">
        <v>448</v>
      </c>
      <c r="H111" s="5" t="s">
        <v>330</v>
      </c>
      <c r="I111" s="5" t="s">
        <v>330</v>
      </c>
      <c r="J111" s="4"/>
      <c r="K111" s="4">
        <f t="shared" si="3"/>
        <v>0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spans="1:45" x14ac:dyDescent="0.25">
      <c r="A112" s="4" t="s">
        <v>447</v>
      </c>
      <c r="B112" s="4" t="s">
        <v>327</v>
      </c>
      <c r="C112" s="4" t="s">
        <v>329</v>
      </c>
      <c r="D112" s="5" t="s">
        <v>334</v>
      </c>
      <c r="E112" s="4">
        <v>1</v>
      </c>
      <c r="F112" s="4">
        <v>1</v>
      </c>
      <c r="G112" s="5" t="s">
        <v>364</v>
      </c>
      <c r="H112" s="5" t="s">
        <v>330</v>
      </c>
      <c r="I112" s="5" t="s">
        <v>330</v>
      </c>
      <c r="J112" s="4"/>
      <c r="K112" s="4">
        <f t="shared" si="3"/>
        <v>0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spans="1:45" x14ac:dyDescent="0.25">
      <c r="A113" s="4" t="s">
        <v>450</v>
      </c>
      <c r="B113" s="4" t="s">
        <v>327</v>
      </c>
      <c r="C113" s="4" t="s">
        <v>332</v>
      </c>
      <c r="D113" s="5" t="s">
        <v>330</v>
      </c>
      <c r="E113" s="4">
        <v>2</v>
      </c>
      <c r="F113" s="4">
        <v>2</v>
      </c>
      <c r="G113" s="5" t="s">
        <v>330</v>
      </c>
      <c r="H113" s="5" t="s">
        <v>330</v>
      </c>
      <c r="I113" s="5" t="s">
        <v>330</v>
      </c>
      <c r="J113" s="4"/>
      <c r="K113" s="4">
        <f t="shared" si="3"/>
        <v>0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spans="1:45" x14ac:dyDescent="0.25">
      <c r="A114" s="4" t="s">
        <v>451</v>
      </c>
      <c r="B114" s="4" t="s">
        <v>327</v>
      </c>
      <c r="C114" s="4" t="s">
        <v>337</v>
      </c>
      <c r="D114" s="5" t="s">
        <v>330</v>
      </c>
      <c r="E114" s="5">
        <v>1</v>
      </c>
      <c r="F114" s="5">
        <v>2</v>
      </c>
      <c r="G114" s="5" t="s">
        <v>453</v>
      </c>
      <c r="H114" s="5" t="s">
        <v>330</v>
      </c>
      <c r="I114" s="5" t="s">
        <v>330</v>
      </c>
      <c r="J114" s="4"/>
      <c r="K114" s="4">
        <f t="shared" si="3"/>
        <v>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spans="1:45" x14ac:dyDescent="0.25">
      <c r="A115" s="4" t="s">
        <v>451</v>
      </c>
      <c r="B115" s="4" t="s">
        <v>327</v>
      </c>
      <c r="C115" s="4" t="s">
        <v>339</v>
      </c>
      <c r="D115" s="5" t="s">
        <v>330</v>
      </c>
      <c r="E115" s="4">
        <v>2</v>
      </c>
      <c r="F115" s="4">
        <v>1</v>
      </c>
      <c r="G115" s="5" t="s">
        <v>452</v>
      </c>
      <c r="H115" s="5" t="s">
        <v>453</v>
      </c>
      <c r="I115" s="5" t="s">
        <v>330</v>
      </c>
      <c r="J115" s="4"/>
      <c r="K115" s="4">
        <f t="shared" si="3"/>
        <v>0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spans="1:45" x14ac:dyDescent="0.25">
      <c r="A116" s="4" t="s">
        <v>454</v>
      </c>
      <c r="B116" s="4" t="s">
        <v>327</v>
      </c>
      <c r="C116" s="4" t="s">
        <v>334</v>
      </c>
      <c r="D116" s="4" t="s">
        <v>339</v>
      </c>
      <c r="E116" s="4">
        <v>1</v>
      </c>
      <c r="F116" s="4">
        <v>1</v>
      </c>
      <c r="G116" s="4" t="s">
        <v>335</v>
      </c>
      <c r="H116" s="5" t="s">
        <v>330</v>
      </c>
      <c r="I116" s="5" t="s">
        <v>330</v>
      </c>
      <c r="J116" s="4"/>
      <c r="K116" s="4">
        <f t="shared" si="3"/>
        <v>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spans="1:45" x14ac:dyDescent="0.25">
      <c r="A117" s="4" t="s">
        <v>454</v>
      </c>
      <c r="B117" s="4" t="s">
        <v>327</v>
      </c>
      <c r="C117" s="4" t="s">
        <v>334</v>
      </c>
      <c r="D117" s="5" t="s">
        <v>330</v>
      </c>
      <c r="E117" s="4">
        <v>1</v>
      </c>
      <c r="F117" s="4">
        <v>1</v>
      </c>
      <c r="G117" s="4" t="s">
        <v>335</v>
      </c>
      <c r="H117" s="5" t="s">
        <v>330</v>
      </c>
      <c r="I117" s="5" t="s">
        <v>330</v>
      </c>
      <c r="J117" s="4"/>
      <c r="K117" s="4">
        <f t="shared" si="3"/>
        <v>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spans="1:45" x14ac:dyDescent="0.25">
      <c r="A118" s="4" t="s">
        <v>454</v>
      </c>
      <c r="B118" s="4" t="s">
        <v>327</v>
      </c>
      <c r="C118" s="4" t="s">
        <v>332</v>
      </c>
      <c r="D118" s="5" t="s">
        <v>330</v>
      </c>
      <c r="E118" s="4">
        <v>1</v>
      </c>
      <c r="F118" s="4">
        <v>1</v>
      </c>
      <c r="G118" s="5" t="s">
        <v>330</v>
      </c>
      <c r="H118" s="5" t="s">
        <v>330</v>
      </c>
      <c r="I118" s="5" t="s">
        <v>330</v>
      </c>
      <c r="J118" s="4"/>
      <c r="K118" s="4">
        <f t="shared" si="3"/>
        <v>0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spans="1:45" x14ac:dyDescent="0.25">
      <c r="A119" s="4" t="s">
        <v>454</v>
      </c>
      <c r="B119" s="4" t="s">
        <v>327</v>
      </c>
      <c r="C119" s="4" t="s">
        <v>332</v>
      </c>
      <c r="D119" s="5" t="s">
        <v>330</v>
      </c>
      <c r="E119" s="4">
        <v>2</v>
      </c>
      <c r="F119" s="4">
        <v>2</v>
      </c>
      <c r="G119" s="5" t="s">
        <v>330</v>
      </c>
      <c r="H119" s="5" t="s">
        <v>330</v>
      </c>
      <c r="I119" s="5" t="s">
        <v>330</v>
      </c>
      <c r="J119" s="4"/>
      <c r="K119" s="4">
        <f t="shared" si="3"/>
        <v>0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spans="1:45" x14ac:dyDescent="0.25">
      <c r="A120" s="4" t="s">
        <v>454</v>
      </c>
      <c r="B120" s="4" t="s">
        <v>327</v>
      </c>
      <c r="C120" s="4" t="s">
        <v>334</v>
      </c>
      <c r="D120" s="5" t="s">
        <v>330</v>
      </c>
      <c r="E120" s="4">
        <v>1</v>
      </c>
      <c r="F120" s="4">
        <v>1</v>
      </c>
      <c r="G120" s="5" t="s">
        <v>330</v>
      </c>
      <c r="H120" s="5" t="s">
        <v>330</v>
      </c>
      <c r="I120" s="5" t="s">
        <v>330</v>
      </c>
      <c r="J120" s="4"/>
      <c r="K120" s="4">
        <f t="shared" si="3"/>
        <v>0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spans="1:45" x14ac:dyDescent="0.25">
      <c r="A121" s="4" t="s">
        <v>455</v>
      </c>
      <c r="B121" s="4" t="s">
        <v>327</v>
      </c>
      <c r="C121" s="4" t="s">
        <v>329</v>
      </c>
      <c r="D121" s="5" t="s">
        <v>330</v>
      </c>
      <c r="E121" s="5">
        <v>5</v>
      </c>
      <c r="F121" s="5">
        <v>5</v>
      </c>
      <c r="G121" s="5" t="s">
        <v>335</v>
      </c>
      <c r="H121" s="5" t="s">
        <v>330</v>
      </c>
      <c r="I121" s="5" t="s">
        <v>330</v>
      </c>
      <c r="J121" s="4"/>
      <c r="K121" s="4">
        <f t="shared" si="3"/>
        <v>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45" x14ac:dyDescent="0.25">
      <c r="A122" s="4" t="s">
        <v>456</v>
      </c>
      <c r="B122" s="4" t="s">
        <v>327</v>
      </c>
      <c r="C122" s="4" t="s">
        <v>337</v>
      </c>
      <c r="D122" s="5" t="s">
        <v>330</v>
      </c>
      <c r="E122" s="4">
        <v>1</v>
      </c>
      <c r="F122" s="4">
        <v>1</v>
      </c>
      <c r="G122" s="5" t="s">
        <v>330</v>
      </c>
      <c r="H122" s="5" t="s">
        <v>330</v>
      </c>
      <c r="I122" s="5" t="s">
        <v>330</v>
      </c>
      <c r="J122" s="4"/>
      <c r="K122" s="4">
        <f t="shared" si="3"/>
        <v>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spans="1:45" x14ac:dyDescent="0.25">
      <c r="A123" s="4" t="s">
        <v>457</v>
      </c>
      <c r="B123" s="4" t="s">
        <v>327</v>
      </c>
      <c r="C123" s="4" t="s">
        <v>339</v>
      </c>
      <c r="D123" s="5" t="s">
        <v>330</v>
      </c>
      <c r="E123" s="4">
        <v>1</v>
      </c>
      <c r="F123" s="4">
        <v>1</v>
      </c>
      <c r="G123" s="5" t="s">
        <v>335</v>
      </c>
      <c r="H123" s="5" t="s">
        <v>330</v>
      </c>
      <c r="I123" s="5" t="s">
        <v>330</v>
      </c>
      <c r="J123" s="4"/>
      <c r="K123" s="4">
        <f t="shared" si="3"/>
        <v>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spans="1:45" x14ac:dyDescent="0.25">
      <c r="A124" s="4" t="s">
        <v>458</v>
      </c>
      <c r="B124" s="4" t="s">
        <v>347</v>
      </c>
      <c r="C124" s="5" t="s">
        <v>330</v>
      </c>
      <c r="D124" s="5" t="s">
        <v>330</v>
      </c>
      <c r="E124" s="5" t="s">
        <v>330</v>
      </c>
      <c r="F124" s="5" t="s">
        <v>330</v>
      </c>
      <c r="G124" s="5" t="s">
        <v>330</v>
      </c>
      <c r="H124" s="5" t="s">
        <v>330</v>
      </c>
      <c r="I124" s="5" t="s">
        <v>330</v>
      </c>
      <c r="J124" s="4"/>
      <c r="K124" s="4">
        <f t="shared" si="3"/>
        <v>0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spans="1:45" x14ac:dyDescent="0.25">
      <c r="A125" s="4" t="s">
        <v>459</v>
      </c>
      <c r="B125" s="4" t="s">
        <v>327</v>
      </c>
      <c r="C125" s="4" t="s">
        <v>339</v>
      </c>
      <c r="D125" s="5" t="s">
        <v>330</v>
      </c>
      <c r="E125" s="4">
        <v>2</v>
      </c>
      <c r="F125" s="4">
        <v>2</v>
      </c>
      <c r="G125" s="5" t="s">
        <v>330</v>
      </c>
      <c r="H125" s="5" t="s">
        <v>330</v>
      </c>
      <c r="I125" s="5" t="s">
        <v>330</v>
      </c>
      <c r="J125" s="4"/>
      <c r="K125" s="4">
        <f t="shared" si="3"/>
        <v>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spans="1:45" x14ac:dyDescent="0.25">
      <c r="A126" s="4" t="s">
        <v>460</v>
      </c>
      <c r="B126" s="4" t="s">
        <v>327</v>
      </c>
      <c r="C126" s="4" t="s">
        <v>332</v>
      </c>
      <c r="D126" s="5" t="s">
        <v>330</v>
      </c>
      <c r="E126" s="4">
        <v>1</v>
      </c>
      <c r="F126" s="4">
        <v>1</v>
      </c>
      <c r="G126" s="4" t="s">
        <v>335</v>
      </c>
      <c r="H126" s="5" t="s">
        <v>330</v>
      </c>
      <c r="I126" s="5" t="s">
        <v>330</v>
      </c>
      <c r="J126" s="4"/>
      <c r="K126" s="4">
        <f t="shared" si="3"/>
        <v>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spans="1:45" x14ac:dyDescent="0.25">
      <c r="A127" s="4" t="s">
        <v>460</v>
      </c>
      <c r="B127" s="4" t="s">
        <v>327</v>
      </c>
      <c r="C127" s="4" t="s">
        <v>345</v>
      </c>
      <c r="D127" s="5" t="s">
        <v>330</v>
      </c>
      <c r="E127" s="4">
        <v>1</v>
      </c>
      <c r="F127" s="4">
        <v>1</v>
      </c>
      <c r="G127" s="5" t="s">
        <v>335</v>
      </c>
      <c r="H127" s="5" t="s">
        <v>330</v>
      </c>
      <c r="I127" s="5" t="s">
        <v>330</v>
      </c>
      <c r="J127" s="4"/>
      <c r="K127" s="4">
        <f t="shared" si="3"/>
        <v>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spans="1:45" x14ac:dyDescent="0.25">
      <c r="A128" s="4" t="s">
        <v>461</v>
      </c>
      <c r="B128" s="4" t="s">
        <v>347</v>
      </c>
      <c r="C128" s="5" t="s">
        <v>330</v>
      </c>
      <c r="D128" s="5" t="s">
        <v>330</v>
      </c>
      <c r="E128" s="5" t="s">
        <v>330</v>
      </c>
      <c r="F128" s="5" t="s">
        <v>330</v>
      </c>
      <c r="G128" s="5" t="s">
        <v>330</v>
      </c>
      <c r="H128" s="5" t="s">
        <v>330</v>
      </c>
      <c r="I128" s="5" t="s">
        <v>330</v>
      </c>
      <c r="J128" s="4"/>
      <c r="K128" s="4">
        <f t="shared" si="3"/>
        <v>0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spans="1:45" x14ac:dyDescent="0.25">
      <c r="A129" s="4" t="s">
        <v>462</v>
      </c>
      <c r="B129" s="4" t="s">
        <v>327</v>
      </c>
      <c r="C129" s="4" t="s">
        <v>334</v>
      </c>
      <c r="D129" s="5" t="s">
        <v>330</v>
      </c>
      <c r="E129" s="4">
        <v>1</v>
      </c>
      <c r="F129" s="4">
        <v>1</v>
      </c>
      <c r="G129" s="5" t="s">
        <v>330</v>
      </c>
      <c r="H129" s="5" t="s">
        <v>330</v>
      </c>
      <c r="I129" s="5" t="s">
        <v>330</v>
      </c>
      <c r="J129" s="4"/>
      <c r="K129" s="4">
        <f t="shared" si="3"/>
        <v>0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spans="1:45" x14ac:dyDescent="0.25">
      <c r="A130" s="4" t="s">
        <v>463</v>
      </c>
      <c r="B130" s="4" t="s">
        <v>352</v>
      </c>
      <c r="C130" s="4" t="s">
        <v>332</v>
      </c>
      <c r="D130" s="5" t="s">
        <v>330</v>
      </c>
      <c r="E130" s="5" t="s">
        <v>330</v>
      </c>
      <c r="F130" s="5" t="s">
        <v>330</v>
      </c>
      <c r="G130" s="5" t="s">
        <v>330</v>
      </c>
      <c r="H130" s="5" t="s">
        <v>330</v>
      </c>
      <c r="I130" s="5" t="s">
        <v>330</v>
      </c>
      <c r="J130" s="5"/>
      <c r="K130" s="4">
        <f t="shared" ref="K130:K144" si="4">COUNTIF(L130:BD130,"&gt;0")</f>
        <v>0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spans="1:45" x14ac:dyDescent="0.25">
      <c r="A131" s="4" t="s">
        <v>464</v>
      </c>
      <c r="B131" s="4" t="s">
        <v>327</v>
      </c>
      <c r="C131" s="4" t="s">
        <v>334</v>
      </c>
      <c r="D131" s="5" t="s">
        <v>330</v>
      </c>
      <c r="E131" s="5">
        <v>1</v>
      </c>
      <c r="F131" s="5">
        <v>1</v>
      </c>
      <c r="G131" s="5" t="s">
        <v>449</v>
      </c>
      <c r="H131" s="5" t="s">
        <v>330</v>
      </c>
      <c r="I131" s="5" t="s">
        <v>330</v>
      </c>
      <c r="J131" s="4"/>
      <c r="K131" s="4">
        <f t="shared" si="4"/>
        <v>0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spans="1:45" x14ac:dyDescent="0.25">
      <c r="A132" s="4" t="s">
        <v>465</v>
      </c>
      <c r="B132" s="4" t="s">
        <v>327</v>
      </c>
      <c r="C132" s="4" t="s">
        <v>334</v>
      </c>
      <c r="D132" s="5" t="s">
        <v>339</v>
      </c>
      <c r="E132" s="5">
        <v>4</v>
      </c>
      <c r="F132" s="5">
        <v>3</v>
      </c>
      <c r="G132" s="5" t="s">
        <v>335</v>
      </c>
      <c r="H132" s="5" t="s">
        <v>330</v>
      </c>
      <c r="I132" s="5" t="s">
        <v>330</v>
      </c>
      <c r="J132" s="4"/>
      <c r="K132" s="4">
        <f t="shared" si="4"/>
        <v>0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spans="1:45" x14ac:dyDescent="0.25">
      <c r="A133" s="4" t="s">
        <v>466</v>
      </c>
      <c r="B133" s="4" t="s">
        <v>327</v>
      </c>
      <c r="C133" s="4" t="s">
        <v>334</v>
      </c>
      <c r="D133" s="5" t="s">
        <v>330</v>
      </c>
      <c r="E133" s="4">
        <v>0</v>
      </c>
      <c r="F133" s="4">
        <v>3</v>
      </c>
      <c r="G133" s="5" t="s">
        <v>356</v>
      </c>
      <c r="H133" s="5" t="s">
        <v>330</v>
      </c>
      <c r="I133" s="5" t="s">
        <v>330</v>
      </c>
      <c r="J133" s="4"/>
      <c r="K133" s="4">
        <f t="shared" si="4"/>
        <v>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spans="1:45" x14ac:dyDescent="0.25">
      <c r="A134" s="4" t="s">
        <v>466</v>
      </c>
      <c r="B134" s="4" t="s">
        <v>327</v>
      </c>
      <c r="C134" s="4" t="s">
        <v>334</v>
      </c>
      <c r="D134" s="5" t="s">
        <v>330</v>
      </c>
      <c r="E134" s="4">
        <v>0</v>
      </c>
      <c r="F134" s="4">
        <v>4</v>
      </c>
      <c r="G134" s="4" t="s">
        <v>356</v>
      </c>
      <c r="H134" s="5" t="s">
        <v>335</v>
      </c>
      <c r="I134" s="5" t="s">
        <v>330</v>
      </c>
      <c r="J134" s="4"/>
      <c r="K134" s="4">
        <f t="shared" si="4"/>
        <v>0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spans="1:45" x14ac:dyDescent="0.25">
      <c r="A135" s="4" t="s">
        <v>466</v>
      </c>
      <c r="B135" s="4" t="s">
        <v>327</v>
      </c>
      <c r="C135" s="4" t="s">
        <v>334</v>
      </c>
      <c r="D135" s="5" t="s">
        <v>330</v>
      </c>
      <c r="E135" s="4">
        <v>1</v>
      </c>
      <c r="F135" s="4">
        <v>3</v>
      </c>
      <c r="G135" s="5" t="s">
        <v>356</v>
      </c>
      <c r="H135" s="5" t="s">
        <v>330</v>
      </c>
      <c r="I135" s="5" t="s">
        <v>330</v>
      </c>
      <c r="J135" s="4"/>
      <c r="K135" s="4">
        <f t="shared" si="4"/>
        <v>0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spans="1:45" x14ac:dyDescent="0.25">
      <c r="A136" s="4" t="s">
        <v>467</v>
      </c>
      <c r="B136" s="4" t="s">
        <v>327</v>
      </c>
      <c r="C136" s="4" t="s">
        <v>334</v>
      </c>
      <c r="D136" s="5" t="s">
        <v>330</v>
      </c>
      <c r="E136" s="4">
        <v>1</v>
      </c>
      <c r="F136" s="4">
        <v>1</v>
      </c>
      <c r="G136" s="5" t="s">
        <v>371</v>
      </c>
      <c r="H136" s="5" t="s">
        <v>330</v>
      </c>
      <c r="I136" s="5" t="s">
        <v>330</v>
      </c>
      <c r="J136" s="4"/>
      <c r="K136" s="4">
        <f t="shared" si="4"/>
        <v>0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1:45" x14ac:dyDescent="0.25">
      <c r="A137" s="4" t="s">
        <v>467</v>
      </c>
      <c r="B137" s="4" t="s">
        <v>327</v>
      </c>
      <c r="C137" s="4" t="s">
        <v>334</v>
      </c>
      <c r="D137" s="5" t="s">
        <v>330</v>
      </c>
      <c r="E137" s="5">
        <v>1</v>
      </c>
      <c r="F137" s="5">
        <v>1</v>
      </c>
      <c r="G137" s="5" t="s">
        <v>330</v>
      </c>
      <c r="H137" s="5" t="s">
        <v>330</v>
      </c>
      <c r="I137" s="5" t="s">
        <v>330</v>
      </c>
      <c r="J137" s="4"/>
      <c r="K137" s="4">
        <f t="shared" si="4"/>
        <v>0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spans="1:45" x14ac:dyDescent="0.25">
      <c r="A138" s="4" t="s">
        <v>467</v>
      </c>
      <c r="B138" s="4" t="s">
        <v>327</v>
      </c>
      <c r="C138" s="4" t="s">
        <v>329</v>
      </c>
      <c r="D138" s="5" t="s">
        <v>330</v>
      </c>
      <c r="E138" s="4">
        <v>1</v>
      </c>
      <c r="F138" s="4">
        <v>1</v>
      </c>
      <c r="G138" s="5" t="s">
        <v>330</v>
      </c>
      <c r="H138" s="5" t="s">
        <v>330</v>
      </c>
      <c r="I138" s="5" t="s">
        <v>330</v>
      </c>
      <c r="J138" s="4"/>
      <c r="K138" s="4">
        <f t="shared" si="4"/>
        <v>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spans="1:45" x14ac:dyDescent="0.25">
      <c r="A139" s="4" t="s">
        <v>468</v>
      </c>
      <c r="B139" s="4" t="s">
        <v>352</v>
      </c>
      <c r="C139" s="4" t="s">
        <v>334</v>
      </c>
      <c r="D139" s="5" t="s">
        <v>330</v>
      </c>
      <c r="E139" s="5" t="s">
        <v>330</v>
      </c>
      <c r="F139" s="5" t="s">
        <v>330</v>
      </c>
      <c r="G139" s="5" t="s">
        <v>330</v>
      </c>
      <c r="H139" s="5" t="s">
        <v>330</v>
      </c>
      <c r="I139" s="5" t="s">
        <v>330</v>
      </c>
      <c r="J139" s="4"/>
      <c r="K139" s="4">
        <f t="shared" si="4"/>
        <v>0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spans="1:45" x14ac:dyDescent="0.25">
      <c r="A140" s="4" t="s">
        <v>469</v>
      </c>
      <c r="B140" s="4" t="s">
        <v>327</v>
      </c>
      <c r="C140" s="4" t="s">
        <v>329</v>
      </c>
      <c r="D140" s="5" t="s">
        <v>330</v>
      </c>
      <c r="E140" s="4">
        <v>1</v>
      </c>
      <c r="F140" s="4">
        <v>1</v>
      </c>
      <c r="G140" s="5" t="s">
        <v>330</v>
      </c>
      <c r="H140" s="5" t="s">
        <v>330</v>
      </c>
      <c r="I140" s="5" t="s">
        <v>470</v>
      </c>
      <c r="J140" s="4"/>
      <c r="K140" s="4">
        <f t="shared" si="4"/>
        <v>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spans="1:45" x14ac:dyDescent="0.25">
      <c r="A141" s="4" t="s">
        <v>471</v>
      </c>
      <c r="B141" s="4" t="s">
        <v>327</v>
      </c>
      <c r="C141" s="4" t="s">
        <v>337</v>
      </c>
      <c r="D141" s="5" t="s">
        <v>330</v>
      </c>
      <c r="E141" s="4">
        <v>2</v>
      </c>
      <c r="F141" s="4">
        <v>2</v>
      </c>
      <c r="G141" s="5" t="s">
        <v>330</v>
      </c>
      <c r="H141" s="5" t="s">
        <v>330</v>
      </c>
      <c r="I141" s="5" t="s">
        <v>330</v>
      </c>
      <c r="J141" s="4"/>
      <c r="K141" s="4">
        <f t="shared" si="4"/>
        <v>0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spans="1:45" x14ac:dyDescent="0.25">
      <c r="A142" s="4" t="s">
        <v>471</v>
      </c>
      <c r="B142" s="4" t="s">
        <v>327</v>
      </c>
      <c r="C142" s="4" t="s">
        <v>337</v>
      </c>
      <c r="D142" s="5" t="s">
        <v>339</v>
      </c>
      <c r="E142" s="4">
        <v>2</v>
      </c>
      <c r="F142" s="4">
        <v>2</v>
      </c>
      <c r="G142" s="5" t="s">
        <v>330</v>
      </c>
      <c r="H142" s="5" t="s">
        <v>330</v>
      </c>
      <c r="I142" s="5" t="s">
        <v>472</v>
      </c>
      <c r="J142" s="4"/>
      <c r="K142" s="4">
        <f t="shared" si="4"/>
        <v>0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spans="1:45" x14ac:dyDescent="0.25">
      <c r="A143" s="4" t="s">
        <v>473</v>
      </c>
      <c r="B143" s="4" t="s">
        <v>327</v>
      </c>
      <c r="C143" s="4" t="s">
        <v>339</v>
      </c>
      <c r="D143" s="5" t="s">
        <v>330</v>
      </c>
      <c r="E143" s="4">
        <v>2</v>
      </c>
      <c r="F143" s="4">
        <v>2</v>
      </c>
      <c r="G143" s="5" t="s">
        <v>330</v>
      </c>
      <c r="H143" s="5" t="s">
        <v>330</v>
      </c>
      <c r="I143" s="5" t="s">
        <v>330</v>
      </c>
      <c r="J143" s="4"/>
      <c r="K143" s="4">
        <f t="shared" si="4"/>
        <v>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spans="1:45" x14ac:dyDescent="0.25">
      <c r="A144" s="4" t="s">
        <v>469</v>
      </c>
      <c r="B144" s="4" t="s">
        <v>327</v>
      </c>
      <c r="C144" s="4" t="s">
        <v>339</v>
      </c>
      <c r="D144" s="5" t="s">
        <v>330</v>
      </c>
      <c r="E144" s="4">
        <v>0</v>
      </c>
      <c r="F144" s="4">
        <v>1</v>
      </c>
      <c r="G144" s="5" t="s">
        <v>330</v>
      </c>
      <c r="H144" s="5" t="s">
        <v>330</v>
      </c>
      <c r="I144" s="4" t="s">
        <v>851</v>
      </c>
      <c r="K144" s="4">
        <f t="shared" si="4"/>
        <v>1</v>
      </c>
      <c r="L144">
        <v>1</v>
      </c>
    </row>
  </sheetData>
  <autoFilter ref="B1:AS1" xr:uid="{736AC3E6-77A1-43B5-A0F2-FAC464AF8E7A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3326-8349-4236-9AF7-A4CE1FF60A88}">
  <dimension ref="A1:R115"/>
  <sheetViews>
    <sheetView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J20" sqref="J20"/>
    </sheetView>
  </sheetViews>
  <sheetFormatPr defaultRowHeight="15" x14ac:dyDescent="0.25"/>
  <cols>
    <col min="1" max="1" width="29.140625" style="4" bestFit="1" customWidth="1"/>
    <col min="2" max="6" width="11" style="4" customWidth="1"/>
    <col min="7" max="8" width="9.140625" style="1"/>
    <col min="9" max="18" width="14.28515625" style="1" customWidth="1"/>
    <col min="19" max="16384" width="9.140625" style="1"/>
  </cols>
  <sheetData>
    <row r="1" spans="1:18" x14ac:dyDescent="0.25">
      <c r="A1" s="4" t="s">
        <v>594</v>
      </c>
      <c r="B1" s="4" t="s">
        <v>599</v>
      </c>
      <c r="C1" s="4" t="s">
        <v>598</v>
      </c>
      <c r="D1" s="4" t="s">
        <v>597</v>
      </c>
      <c r="E1" s="4" t="s">
        <v>596</v>
      </c>
      <c r="F1" s="4" t="s">
        <v>595</v>
      </c>
      <c r="H1" s="4" t="s">
        <v>594</v>
      </c>
      <c r="I1" s="4" t="s">
        <v>2698</v>
      </c>
      <c r="J1" s="4" t="s">
        <v>2699</v>
      </c>
      <c r="K1" s="4" t="s">
        <v>2694</v>
      </c>
      <c r="L1" s="4" t="s">
        <v>593</v>
      </c>
      <c r="M1" s="4" t="s">
        <v>2697</v>
      </c>
      <c r="O1" s="4" t="s">
        <v>2695</v>
      </c>
      <c r="P1" s="4" t="s">
        <v>2696</v>
      </c>
      <c r="Q1" s="4" t="s">
        <v>552</v>
      </c>
      <c r="R1" s="4" t="s">
        <v>551</v>
      </c>
    </row>
    <row r="2" spans="1:18" x14ac:dyDescent="0.25">
      <c r="A2" s="4" t="s">
        <v>539</v>
      </c>
      <c r="B2" s="4">
        <v>272</v>
      </c>
      <c r="C2" s="4">
        <v>273</v>
      </c>
      <c r="D2" s="4">
        <v>275</v>
      </c>
      <c r="E2" s="4">
        <v>274</v>
      </c>
      <c r="F2" s="4">
        <v>276</v>
      </c>
      <c r="H2" s="4" t="s">
        <v>591</v>
      </c>
      <c r="I2" s="4" t="s">
        <v>525</v>
      </c>
      <c r="J2" s="4" t="s">
        <v>525</v>
      </c>
      <c r="K2" s="4">
        <v>1</v>
      </c>
      <c r="L2" s="4">
        <v>309</v>
      </c>
      <c r="M2" s="4">
        <v>309</v>
      </c>
    </row>
    <row r="3" spans="1:18" x14ac:dyDescent="0.25">
      <c r="A3" s="4" t="s">
        <v>538</v>
      </c>
      <c r="B3" s="4">
        <v>507</v>
      </c>
      <c r="C3" s="4">
        <v>508</v>
      </c>
      <c r="D3" s="4">
        <v>510</v>
      </c>
      <c r="E3" s="4">
        <v>509</v>
      </c>
      <c r="F3" s="4">
        <v>511</v>
      </c>
    </row>
    <row r="4" spans="1:18" x14ac:dyDescent="0.25">
      <c r="A4" s="4" t="s">
        <v>537</v>
      </c>
      <c r="B4" s="4">
        <v>512</v>
      </c>
      <c r="C4" s="4">
        <v>513</v>
      </c>
      <c r="D4" s="4">
        <v>515</v>
      </c>
      <c r="E4" s="4">
        <v>514</v>
      </c>
      <c r="F4" s="4">
        <v>516</v>
      </c>
    </row>
    <row r="5" spans="1:18" x14ac:dyDescent="0.25">
      <c r="A5" s="4" t="s">
        <v>580</v>
      </c>
      <c r="B5" s="4" t="s">
        <v>525</v>
      </c>
      <c r="C5" s="4" t="s">
        <v>525</v>
      </c>
      <c r="D5" s="4" t="s">
        <v>525</v>
      </c>
      <c r="E5" s="4" t="s">
        <v>525</v>
      </c>
      <c r="F5" s="4" t="s">
        <v>525</v>
      </c>
    </row>
    <row r="6" spans="1:18" x14ac:dyDescent="0.25">
      <c r="A6" s="4" t="s">
        <v>548</v>
      </c>
      <c r="B6" s="4" t="s">
        <v>525</v>
      </c>
      <c r="C6" s="4" t="s">
        <v>525</v>
      </c>
      <c r="D6" s="4" t="s">
        <v>525</v>
      </c>
      <c r="E6" s="4" t="s">
        <v>525</v>
      </c>
      <c r="F6" s="4" t="s">
        <v>525</v>
      </c>
    </row>
    <row r="7" spans="1:18" x14ac:dyDescent="0.25">
      <c r="A7" s="4" t="s">
        <v>547</v>
      </c>
      <c r="B7" s="4" t="s">
        <v>525</v>
      </c>
      <c r="C7" s="4" t="s">
        <v>525</v>
      </c>
      <c r="D7" s="4" t="s">
        <v>525</v>
      </c>
      <c r="E7" s="4" t="s">
        <v>525</v>
      </c>
      <c r="F7" s="4" t="s">
        <v>525</v>
      </c>
    </row>
    <row r="8" spans="1:18" x14ac:dyDescent="0.25">
      <c r="A8" s="4" t="s">
        <v>528</v>
      </c>
      <c r="B8" s="4" t="s">
        <v>525</v>
      </c>
      <c r="C8" s="4" t="s">
        <v>525</v>
      </c>
      <c r="D8" s="4" t="s">
        <v>525</v>
      </c>
      <c r="E8" s="4" t="s">
        <v>525</v>
      </c>
      <c r="F8" s="4" t="s">
        <v>525</v>
      </c>
    </row>
    <row r="9" spans="1:18" x14ac:dyDescent="0.25">
      <c r="A9" s="4" t="s">
        <v>529</v>
      </c>
      <c r="B9" s="4">
        <v>292</v>
      </c>
      <c r="C9" s="4" t="s">
        <v>525</v>
      </c>
      <c r="D9" s="4">
        <v>295</v>
      </c>
      <c r="E9" s="4" t="s">
        <v>525</v>
      </c>
      <c r="F9" s="4" t="s">
        <v>525</v>
      </c>
    </row>
    <row r="10" spans="1:18" x14ac:dyDescent="0.25">
      <c r="A10" s="4" t="s">
        <v>585</v>
      </c>
      <c r="B10" s="4" t="s">
        <v>525</v>
      </c>
      <c r="C10" s="4" t="s">
        <v>525</v>
      </c>
      <c r="D10" s="4" t="s">
        <v>525</v>
      </c>
      <c r="E10" s="4" t="s">
        <v>525</v>
      </c>
      <c r="F10" s="4" t="s">
        <v>525</v>
      </c>
    </row>
    <row r="11" spans="1:18" x14ac:dyDescent="0.25">
      <c r="A11" s="4" t="s">
        <v>584</v>
      </c>
      <c r="B11" s="4" t="s">
        <v>525</v>
      </c>
      <c r="C11" s="4" t="s">
        <v>525</v>
      </c>
      <c r="D11" s="4" t="s">
        <v>525</v>
      </c>
      <c r="E11" s="4" t="s">
        <v>525</v>
      </c>
      <c r="F11" s="4" t="s">
        <v>525</v>
      </c>
    </row>
    <row r="12" spans="1:18" x14ac:dyDescent="0.25">
      <c r="A12" s="4" t="s">
        <v>583</v>
      </c>
      <c r="B12" s="4" t="s">
        <v>525</v>
      </c>
      <c r="C12" s="4" t="s">
        <v>525</v>
      </c>
      <c r="D12" s="4" t="s">
        <v>525</v>
      </c>
      <c r="E12" s="4" t="s">
        <v>525</v>
      </c>
      <c r="F12" s="4" t="s">
        <v>525</v>
      </c>
    </row>
    <row r="13" spans="1:18" x14ac:dyDescent="0.25">
      <c r="A13" s="4" t="s">
        <v>582</v>
      </c>
      <c r="B13" s="4" t="s">
        <v>525</v>
      </c>
      <c r="C13" s="4" t="s">
        <v>525</v>
      </c>
      <c r="D13" s="4" t="s">
        <v>525</v>
      </c>
      <c r="E13" s="4" t="s">
        <v>525</v>
      </c>
      <c r="F13" s="4" t="s">
        <v>525</v>
      </c>
    </row>
    <row r="14" spans="1:18" x14ac:dyDescent="0.25">
      <c r="A14" s="4" t="s">
        <v>581</v>
      </c>
      <c r="B14" s="4" t="s">
        <v>525</v>
      </c>
      <c r="C14" s="4" t="s">
        <v>525</v>
      </c>
      <c r="D14" s="4" t="s">
        <v>525</v>
      </c>
      <c r="E14" s="4" t="s">
        <v>525</v>
      </c>
      <c r="F14" s="4">
        <v>274</v>
      </c>
    </row>
    <row r="15" spans="1:18" x14ac:dyDescent="0.25">
      <c r="A15" s="4" t="s">
        <v>544</v>
      </c>
      <c r="B15" s="4">
        <v>264</v>
      </c>
      <c r="C15" s="4">
        <v>268</v>
      </c>
      <c r="D15" s="4">
        <v>276</v>
      </c>
      <c r="E15" s="4">
        <v>273</v>
      </c>
      <c r="F15" s="4">
        <v>280</v>
      </c>
    </row>
    <row r="16" spans="1:18" x14ac:dyDescent="0.25">
      <c r="A16" s="4" t="s">
        <v>545</v>
      </c>
      <c r="B16" s="4">
        <v>263</v>
      </c>
      <c r="C16" s="4">
        <v>267</v>
      </c>
      <c r="D16" s="4">
        <v>275</v>
      </c>
      <c r="E16" s="4">
        <v>272</v>
      </c>
      <c r="F16" s="4">
        <v>279</v>
      </c>
    </row>
    <row r="17" spans="1:6" x14ac:dyDescent="0.25">
      <c r="A17" s="4" t="s">
        <v>546</v>
      </c>
      <c r="B17" s="4">
        <v>262</v>
      </c>
      <c r="C17" s="4">
        <v>266</v>
      </c>
      <c r="D17" s="4">
        <v>274</v>
      </c>
      <c r="E17" s="4">
        <v>271</v>
      </c>
      <c r="F17" s="4">
        <v>278</v>
      </c>
    </row>
    <row r="18" spans="1:6" x14ac:dyDescent="0.25">
      <c r="A18" s="4" t="s">
        <v>543</v>
      </c>
      <c r="B18" s="4">
        <v>265</v>
      </c>
      <c r="C18" s="4">
        <v>269</v>
      </c>
      <c r="D18" s="4">
        <v>277</v>
      </c>
      <c r="E18" s="4">
        <v>274</v>
      </c>
      <c r="F18" s="4">
        <v>281</v>
      </c>
    </row>
    <row r="19" spans="1:6" x14ac:dyDescent="0.25">
      <c r="A19" s="4" t="s">
        <v>565</v>
      </c>
      <c r="B19" s="4">
        <v>272</v>
      </c>
      <c r="C19" s="4">
        <v>274</v>
      </c>
      <c r="D19" s="4">
        <v>278</v>
      </c>
      <c r="E19" s="4" t="s">
        <v>525</v>
      </c>
      <c r="F19" s="4">
        <v>280</v>
      </c>
    </row>
    <row r="20" spans="1:6" x14ac:dyDescent="0.25">
      <c r="A20" s="4" t="s">
        <v>564</v>
      </c>
      <c r="B20" s="4">
        <v>273</v>
      </c>
      <c r="C20" s="4">
        <v>275</v>
      </c>
      <c r="D20" s="4">
        <v>279</v>
      </c>
      <c r="E20" s="4">
        <v>277</v>
      </c>
      <c r="F20" s="4">
        <v>281</v>
      </c>
    </row>
    <row r="21" spans="1:6" x14ac:dyDescent="0.25">
      <c r="A21" s="4" t="s">
        <v>563</v>
      </c>
      <c r="B21" s="4" t="s">
        <v>525</v>
      </c>
      <c r="C21" s="4">
        <v>278</v>
      </c>
      <c r="D21" s="4" t="s">
        <v>525</v>
      </c>
      <c r="E21" s="4" t="s">
        <v>525</v>
      </c>
      <c r="F21" s="4" t="s">
        <v>525</v>
      </c>
    </row>
    <row r="22" spans="1:6" x14ac:dyDescent="0.25">
      <c r="A22" s="4" t="s">
        <v>2703</v>
      </c>
      <c r="B22" s="4">
        <v>373</v>
      </c>
      <c r="C22" s="4">
        <v>375</v>
      </c>
      <c r="D22" s="4">
        <v>379</v>
      </c>
      <c r="E22" s="4">
        <v>377</v>
      </c>
      <c r="F22" s="4">
        <v>381</v>
      </c>
    </row>
    <row r="23" spans="1:6" x14ac:dyDescent="0.25">
      <c r="A23" s="4" t="s">
        <v>2704</v>
      </c>
      <c r="B23" s="4">
        <v>374</v>
      </c>
      <c r="C23" s="4">
        <v>376</v>
      </c>
      <c r="D23" s="4">
        <v>380</v>
      </c>
      <c r="E23" s="4">
        <v>378</v>
      </c>
      <c r="F23" s="4">
        <v>382</v>
      </c>
    </row>
    <row r="24" spans="1:6" x14ac:dyDescent="0.25">
      <c r="A24" s="4" t="s">
        <v>535</v>
      </c>
      <c r="B24" s="4">
        <v>287</v>
      </c>
      <c r="C24" s="4">
        <v>288</v>
      </c>
      <c r="D24" s="4">
        <v>290</v>
      </c>
      <c r="E24" s="4">
        <v>289</v>
      </c>
      <c r="F24" s="4">
        <v>291</v>
      </c>
    </row>
    <row r="25" spans="1:6" x14ac:dyDescent="0.25">
      <c r="A25" s="4" t="s">
        <v>536</v>
      </c>
      <c r="B25" s="4">
        <v>272</v>
      </c>
      <c r="C25" s="4">
        <v>273</v>
      </c>
      <c r="D25" s="4">
        <v>275</v>
      </c>
      <c r="E25" s="4">
        <v>274</v>
      </c>
      <c r="F25" s="4">
        <v>276</v>
      </c>
    </row>
    <row r="26" spans="1:6" x14ac:dyDescent="0.25">
      <c r="A26" s="4" t="s">
        <v>542</v>
      </c>
      <c r="B26" s="4">
        <v>272</v>
      </c>
      <c r="C26" s="4">
        <v>273</v>
      </c>
      <c r="D26" s="4">
        <v>275</v>
      </c>
      <c r="E26" s="4">
        <v>274</v>
      </c>
      <c r="F26" s="4">
        <v>276</v>
      </c>
    </row>
    <row r="27" spans="1:6" x14ac:dyDescent="0.25">
      <c r="A27" s="4" t="s">
        <v>531</v>
      </c>
      <c r="B27" s="4">
        <v>262</v>
      </c>
      <c r="C27" s="4">
        <v>263</v>
      </c>
      <c r="D27" s="4">
        <v>265</v>
      </c>
      <c r="E27" s="4">
        <v>264</v>
      </c>
      <c r="F27" s="4" t="s">
        <v>525</v>
      </c>
    </row>
    <row r="28" spans="1:6" x14ac:dyDescent="0.25">
      <c r="A28" s="4" t="s">
        <v>552</v>
      </c>
      <c r="B28" s="4" t="s">
        <v>525</v>
      </c>
      <c r="C28" s="4">
        <v>319</v>
      </c>
      <c r="D28" s="4" t="s">
        <v>525</v>
      </c>
      <c r="E28" s="4" t="s">
        <v>525</v>
      </c>
      <c r="F28" s="4" t="s">
        <v>525</v>
      </c>
    </row>
    <row r="29" spans="1:6" x14ac:dyDescent="0.25">
      <c r="A29" s="4" t="s">
        <v>551</v>
      </c>
      <c r="B29" s="4" t="s">
        <v>525</v>
      </c>
      <c r="C29" s="4">
        <v>320</v>
      </c>
      <c r="D29" s="4" t="s">
        <v>525</v>
      </c>
      <c r="E29" s="4" t="s">
        <v>525</v>
      </c>
      <c r="F29" s="4" t="s">
        <v>525</v>
      </c>
    </row>
    <row r="30" spans="1:6" x14ac:dyDescent="0.25">
      <c r="A30" s="4" t="s">
        <v>534</v>
      </c>
      <c r="B30" s="4" t="s">
        <v>525</v>
      </c>
      <c r="C30" s="4" t="s">
        <v>525</v>
      </c>
      <c r="D30" s="4">
        <v>303</v>
      </c>
      <c r="E30" s="4" t="s">
        <v>525</v>
      </c>
      <c r="F30" s="4">
        <v>306</v>
      </c>
    </row>
    <row r="31" spans="1:6" x14ac:dyDescent="0.25">
      <c r="A31" s="4" t="s">
        <v>533</v>
      </c>
      <c r="B31" s="4">
        <v>295</v>
      </c>
      <c r="C31" s="4">
        <v>298</v>
      </c>
      <c r="D31" s="4" t="s">
        <v>525</v>
      </c>
      <c r="E31" s="4" t="s">
        <v>525</v>
      </c>
      <c r="F31" s="4">
        <v>307</v>
      </c>
    </row>
    <row r="32" spans="1:6" x14ac:dyDescent="0.25">
      <c r="A32" s="4" t="s">
        <v>532</v>
      </c>
      <c r="B32" s="4">
        <v>296</v>
      </c>
      <c r="C32" s="4">
        <v>299</v>
      </c>
      <c r="D32" s="4">
        <v>305</v>
      </c>
      <c r="E32" s="4">
        <v>302</v>
      </c>
      <c r="F32" s="4">
        <v>308</v>
      </c>
    </row>
    <row r="33" spans="1:6" x14ac:dyDescent="0.25">
      <c r="A33" s="4" t="s">
        <v>541</v>
      </c>
      <c r="B33" s="4">
        <v>282</v>
      </c>
      <c r="C33" s="4">
        <v>284</v>
      </c>
      <c r="D33" s="4">
        <v>288</v>
      </c>
      <c r="E33" s="4">
        <v>286</v>
      </c>
      <c r="F33" s="4">
        <v>290</v>
      </c>
    </row>
    <row r="34" spans="1:6" x14ac:dyDescent="0.25">
      <c r="A34" s="4" t="s">
        <v>540</v>
      </c>
      <c r="B34" s="4">
        <v>283</v>
      </c>
      <c r="C34" s="4">
        <v>285</v>
      </c>
      <c r="D34" s="4">
        <v>289</v>
      </c>
      <c r="E34" s="4">
        <v>287</v>
      </c>
      <c r="F34" s="4">
        <v>291</v>
      </c>
    </row>
    <row r="35" spans="1:6" x14ac:dyDescent="0.25">
      <c r="A35" s="4" t="s">
        <v>579</v>
      </c>
      <c r="B35" s="4">
        <v>185</v>
      </c>
      <c r="C35" s="4">
        <v>186</v>
      </c>
      <c r="D35" s="4">
        <v>188</v>
      </c>
      <c r="E35" s="4" t="s">
        <v>525</v>
      </c>
      <c r="F35" s="4">
        <v>189</v>
      </c>
    </row>
    <row r="36" spans="1:6" x14ac:dyDescent="0.25">
      <c r="A36" s="4" t="s">
        <v>569</v>
      </c>
      <c r="B36" s="4">
        <v>268</v>
      </c>
      <c r="C36" s="4">
        <v>270</v>
      </c>
      <c r="D36" s="4" t="s">
        <v>525</v>
      </c>
      <c r="E36" s="4">
        <v>272</v>
      </c>
      <c r="F36" s="4">
        <v>276</v>
      </c>
    </row>
    <row r="37" spans="1:6" x14ac:dyDescent="0.25">
      <c r="A37" s="4" t="s">
        <v>568</v>
      </c>
      <c r="B37" s="4">
        <v>269</v>
      </c>
      <c r="C37" s="4">
        <v>271</v>
      </c>
      <c r="D37" s="4">
        <v>275</v>
      </c>
      <c r="E37" s="4">
        <v>273</v>
      </c>
      <c r="F37" s="4">
        <v>277</v>
      </c>
    </row>
    <row r="38" spans="1:6" x14ac:dyDescent="0.25">
      <c r="A38" s="4" t="s">
        <v>571</v>
      </c>
      <c r="B38" s="4" t="s">
        <v>525</v>
      </c>
      <c r="C38" s="4" t="s">
        <v>525</v>
      </c>
      <c r="D38" s="4" t="s">
        <v>525</v>
      </c>
      <c r="E38" s="4" t="s">
        <v>525</v>
      </c>
      <c r="F38" s="4" t="s">
        <v>525</v>
      </c>
    </row>
    <row r="39" spans="1:6" x14ac:dyDescent="0.25">
      <c r="A39" s="4" t="s">
        <v>570</v>
      </c>
      <c r="B39" s="4" t="s">
        <v>525</v>
      </c>
      <c r="C39" s="4">
        <v>271</v>
      </c>
      <c r="D39" s="4" t="s">
        <v>525</v>
      </c>
      <c r="E39" s="4">
        <v>273</v>
      </c>
      <c r="F39" s="4" t="s">
        <v>525</v>
      </c>
    </row>
    <row r="40" spans="1:6" x14ac:dyDescent="0.25">
      <c r="A40" s="4" t="s">
        <v>554</v>
      </c>
      <c r="B40" s="4">
        <v>21</v>
      </c>
      <c r="C40" s="4">
        <v>22</v>
      </c>
      <c r="D40" s="4">
        <v>24</v>
      </c>
      <c r="E40" s="4">
        <v>23</v>
      </c>
      <c r="F40" s="4">
        <v>25</v>
      </c>
    </row>
    <row r="41" spans="1:6" x14ac:dyDescent="0.25">
      <c r="A41" s="4" t="s">
        <v>567</v>
      </c>
      <c r="B41" s="4">
        <v>293</v>
      </c>
      <c r="C41" s="4">
        <v>295</v>
      </c>
      <c r="D41" s="4" t="s">
        <v>525</v>
      </c>
      <c r="E41" s="4">
        <v>297</v>
      </c>
      <c r="F41" s="4">
        <v>231</v>
      </c>
    </row>
    <row r="42" spans="1:6" x14ac:dyDescent="0.25">
      <c r="A42" s="4" t="s">
        <v>566</v>
      </c>
      <c r="B42" s="4">
        <v>294</v>
      </c>
      <c r="C42" s="4">
        <v>296</v>
      </c>
      <c r="D42" s="4">
        <v>300</v>
      </c>
      <c r="E42" s="4">
        <v>298</v>
      </c>
      <c r="F42" s="4" t="s">
        <v>525</v>
      </c>
    </row>
    <row r="43" spans="1:6" x14ac:dyDescent="0.25">
      <c r="A43" s="4" t="s">
        <v>527</v>
      </c>
      <c r="B43" s="4" t="s">
        <v>525</v>
      </c>
      <c r="C43" s="4" t="s">
        <v>525</v>
      </c>
      <c r="D43" s="4" t="s">
        <v>525</v>
      </c>
      <c r="E43" s="4" t="s">
        <v>525</v>
      </c>
      <c r="F43" s="4" t="s">
        <v>525</v>
      </c>
    </row>
    <row r="44" spans="1:6" x14ac:dyDescent="0.25">
      <c r="A44" s="4" t="s">
        <v>526</v>
      </c>
      <c r="B44" s="4" t="s">
        <v>525</v>
      </c>
      <c r="C44" s="4" t="s">
        <v>525</v>
      </c>
      <c r="D44" s="4" t="s">
        <v>525</v>
      </c>
      <c r="E44" s="4" t="s">
        <v>525</v>
      </c>
      <c r="F44" s="4" t="s">
        <v>525</v>
      </c>
    </row>
    <row r="45" spans="1:6" x14ac:dyDescent="0.25">
      <c r="A45" s="4" t="s">
        <v>555</v>
      </c>
      <c r="B45" s="4">
        <v>287</v>
      </c>
      <c r="C45" s="4">
        <v>288</v>
      </c>
      <c r="D45" s="4">
        <v>290</v>
      </c>
      <c r="E45" s="4">
        <v>289</v>
      </c>
      <c r="F45" s="4">
        <v>291</v>
      </c>
    </row>
    <row r="46" spans="1:6" x14ac:dyDescent="0.25">
      <c r="A46" s="4" t="s">
        <v>558</v>
      </c>
      <c r="B46" s="4">
        <v>272</v>
      </c>
      <c r="C46" s="4">
        <v>274</v>
      </c>
      <c r="D46" s="4">
        <v>278</v>
      </c>
      <c r="E46" s="4" t="s">
        <v>525</v>
      </c>
      <c r="F46" s="4">
        <v>280</v>
      </c>
    </row>
    <row r="47" spans="1:6" x14ac:dyDescent="0.25">
      <c r="A47" s="4" t="s">
        <v>557</v>
      </c>
      <c r="B47" s="4">
        <v>273</v>
      </c>
      <c r="C47" s="4">
        <v>275</v>
      </c>
      <c r="D47" s="4">
        <v>279</v>
      </c>
      <c r="E47" s="4">
        <v>277</v>
      </c>
      <c r="F47" s="4">
        <v>281</v>
      </c>
    </row>
    <row r="48" spans="1:6" x14ac:dyDescent="0.25">
      <c r="A48" s="4" t="s">
        <v>560</v>
      </c>
      <c r="B48" s="4">
        <v>282</v>
      </c>
      <c r="C48" s="4">
        <v>284</v>
      </c>
      <c r="D48" s="4">
        <v>288</v>
      </c>
      <c r="E48" s="4">
        <v>286</v>
      </c>
      <c r="F48" s="4">
        <v>290</v>
      </c>
    </row>
    <row r="49" spans="1:6" x14ac:dyDescent="0.25">
      <c r="A49" s="4" t="s">
        <v>559</v>
      </c>
      <c r="B49" s="4">
        <v>283</v>
      </c>
      <c r="C49" s="4">
        <v>285</v>
      </c>
      <c r="D49" s="4">
        <v>289</v>
      </c>
      <c r="E49" s="4" t="s">
        <v>525</v>
      </c>
      <c r="F49" s="4">
        <v>291</v>
      </c>
    </row>
    <row r="50" spans="1:6" x14ac:dyDescent="0.25">
      <c r="A50" s="4" t="s">
        <v>2791</v>
      </c>
      <c r="B50" s="4">
        <v>277</v>
      </c>
      <c r="C50" s="4">
        <v>279</v>
      </c>
      <c r="D50" s="4">
        <v>283</v>
      </c>
      <c r="E50" s="4">
        <v>281</v>
      </c>
      <c r="F50" s="4">
        <v>285</v>
      </c>
    </row>
    <row r="51" spans="1:6" x14ac:dyDescent="0.25">
      <c r="A51" s="4" t="s">
        <v>2792</v>
      </c>
      <c r="B51" s="4">
        <v>278</v>
      </c>
      <c r="C51" s="4">
        <v>280</v>
      </c>
      <c r="D51" s="4">
        <v>284</v>
      </c>
      <c r="E51" s="4">
        <v>282</v>
      </c>
      <c r="F51" s="4">
        <v>286</v>
      </c>
    </row>
    <row r="52" spans="1:6" x14ac:dyDescent="0.25">
      <c r="A52" s="4" t="s">
        <v>577</v>
      </c>
      <c r="B52" s="4" t="s">
        <v>525</v>
      </c>
      <c r="C52" s="4" t="s">
        <v>525</v>
      </c>
      <c r="E52" s="4" t="s">
        <v>525</v>
      </c>
      <c r="F52" s="4" t="s">
        <v>525</v>
      </c>
    </row>
    <row r="53" spans="1:6" x14ac:dyDescent="0.25">
      <c r="A53" s="4" t="s">
        <v>549</v>
      </c>
      <c r="B53" s="4">
        <v>304</v>
      </c>
      <c r="C53" s="4">
        <v>305</v>
      </c>
      <c r="D53" s="4">
        <v>307</v>
      </c>
      <c r="E53" s="4" t="s">
        <v>525</v>
      </c>
      <c r="F53" s="4">
        <v>306</v>
      </c>
    </row>
    <row r="54" spans="1:6" x14ac:dyDescent="0.25">
      <c r="A54" s="4" t="s">
        <v>553</v>
      </c>
      <c r="B54" s="4">
        <v>272</v>
      </c>
      <c r="C54" s="4">
        <v>273</v>
      </c>
      <c r="D54" s="4">
        <v>275</v>
      </c>
      <c r="E54" s="4">
        <v>274</v>
      </c>
      <c r="F54" s="4">
        <v>276</v>
      </c>
    </row>
    <row r="55" spans="1:6" x14ac:dyDescent="0.25">
      <c r="A55" s="4" t="s">
        <v>550</v>
      </c>
      <c r="B55" s="4">
        <v>272</v>
      </c>
      <c r="C55" s="4">
        <v>273</v>
      </c>
      <c r="D55" s="4">
        <v>275</v>
      </c>
      <c r="E55" s="4">
        <v>274</v>
      </c>
      <c r="F55" s="4">
        <v>276</v>
      </c>
    </row>
    <row r="56" spans="1:6" x14ac:dyDescent="0.25">
      <c r="A56" s="4" t="s">
        <v>2702</v>
      </c>
      <c r="B56" s="4">
        <v>369</v>
      </c>
      <c r="C56" s="4">
        <v>366</v>
      </c>
      <c r="D56" s="4">
        <v>368</v>
      </c>
      <c r="E56" s="4">
        <v>367</v>
      </c>
      <c r="F56" s="4">
        <v>365</v>
      </c>
    </row>
    <row r="57" spans="1:6" x14ac:dyDescent="0.25">
      <c r="A57" s="4" t="s">
        <v>2700</v>
      </c>
      <c r="B57" s="4" t="s">
        <v>525</v>
      </c>
      <c r="C57" s="4" t="s">
        <v>525</v>
      </c>
      <c r="D57" s="4" t="s">
        <v>525</v>
      </c>
      <c r="E57" s="4" t="s">
        <v>525</v>
      </c>
      <c r="F57" s="4" t="s">
        <v>525</v>
      </c>
    </row>
    <row r="58" spans="1:6" x14ac:dyDescent="0.25">
      <c r="A58" s="4" t="s">
        <v>2701</v>
      </c>
      <c r="B58" s="4">
        <v>267</v>
      </c>
      <c r="C58" s="4">
        <v>268</v>
      </c>
      <c r="D58" s="4" t="s">
        <v>525</v>
      </c>
      <c r="E58" s="4" t="s">
        <v>525</v>
      </c>
      <c r="F58" s="4" t="s">
        <v>525</v>
      </c>
    </row>
    <row r="59" spans="1:6" x14ac:dyDescent="0.25">
      <c r="A59" s="4" t="s">
        <v>943</v>
      </c>
      <c r="B59" s="4" t="s">
        <v>525</v>
      </c>
      <c r="C59" s="4" t="s">
        <v>525</v>
      </c>
      <c r="D59" s="4" t="s">
        <v>525</v>
      </c>
      <c r="E59" s="4" t="s">
        <v>525</v>
      </c>
      <c r="F59" s="4" t="s">
        <v>525</v>
      </c>
    </row>
    <row r="60" spans="1:6" x14ac:dyDescent="0.25">
      <c r="A60" s="4" t="s">
        <v>530</v>
      </c>
      <c r="B60" s="4" t="s">
        <v>525</v>
      </c>
      <c r="C60" s="4" t="s">
        <v>525</v>
      </c>
      <c r="D60" s="4" t="s">
        <v>525</v>
      </c>
      <c r="E60" s="4" t="s">
        <v>525</v>
      </c>
      <c r="F60" s="4" t="s">
        <v>525</v>
      </c>
    </row>
    <row r="61" spans="1:6" x14ac:dyDescent="0.25">
      <c r="A61" s="4" t="s">
        <v>2691</v>
      </c>
      <c r="B61" s="4" t="s">
        <v>525</v>
      </c>
      <c r="C61" s="4">
        <v>280</v>
      </c>
      <c r="D61" s="4">
        <v>284</v>
      </c>
      <c r="E61" s="4">
        <v>282</v>
      </c>
      <c r="F61" s="4">
        <v>286</v>
      </c>
    </row>
    <row r="62" spans="1:6" x14ac:dyDescent="0.25">
      <c r="A62" s="4" t="s">
        <v>2692</v>
      </c>
      <c r="B62" s="4" t="s">
        <v>525</v>
      </c>
      <c r="C62" s="4">
        <v>281</v>
      </c>
      <c r="D62" s="4">
        <v>285</v>
      </c>
      <c r="E62" s="4" t="s">
        <v>525</v>
      </c>
      <c r="F62" s="4">
        <v>287</v>
      </c>
    </row>
    <row r="63" spans="1:6" x14ac:dyDescent="0.25">
      <c r="A63" s="4" t="s">
        <v>576</v>
      </c>
      <c r="B63" s="4" t="s">
        <v>525</v>
      </c>
      <c r="C63" s="4" t="s">
        <v>525</v>
      </c>
      <c r="D63" s="4" t="s">
        <v>525</v>
      </c>
      <c r="E63" s="4" t="s">
        <v>525</v>
      </c>
      <c r="F63" s="4" t="s">
        <v>525</v>
      </c>
    </row>
    <row r="64" spans="1:6" x14ac:dyDescent="0.25">
      <c r="A64" s="4" t="s">
        <v>2693</v>
      </c>
      <c r="B64" s="4" t="s">
        <v>525</v>
      </c>
      <c r="C64" s="4" t="s">
        <v>525</v>
      </c>
      <c r="D64" s="4" t="s">
        <v>525</v>
      </c>
      <c r="E64" s="4" t="s">
        <v>525</v>
      </c>
      <c r="F64" s="4" t="s">
        <v>525</v>
      </c>
    </row>
    <row r="65" spans="1:6" x14ac:dyDescent="0.25">
      <c r="A65" s="4" t="s">
        <v>880</v>
      </c>
      <c r="B65" s="4" t="s">
        <v>525</v>
      </c>
      <c r="C65" s="4">
        <v>254</v>
      </c>
      <c r="D65" s="4">
        <v>256</v>
      </c>
      <c r="E65" s="4">
        <v>255</v>
      </c>
      <c r="F65" s="4">
        <v>257</v>
      </c>
    </row>
    <row r="66" spans="1:6" x14ac:dyDescent="0.25">
      <c r="A66" s="4" t="s">
        <v>562</v>
      </c>
      <c r="B66" s="4">
        <v>235</v>
      </c>
      <c r="C66" s="4" t="s">
        <v>525</v>
      </c>
      <c r="D66" s="4">
        <v>238</v>
      </c>
      <c r="E66" s="4" t="s">
        <v>525</v>
      </c>
      <c r="F66" s="4">
        <v>239</v>
      </c>
    </row>
    <row r="67" spans="1:6" x14ac:dyDescent="0.25">
      <c r="A67" s="4" t="s">
        <v>561</v>
      </c>
      <c r="B67" s="4" t="s">
        <v>525</v>
      </c>
      <c r="C67" s="4">
        <v>241</v>
      </c>
      <c r="D67" s="4">
        <v>243</v>
      </c>
      <c r="E67" s="4">
        <v>242</v>
      </c>
      <c r="F67" s="4">
        <v>244</v>
      </c>
    </row>
    <row r="68" spans="1:6" x14ac:dyDescent="0.25">
      <c r="A68" s="4" t="s">
        <v>592</v>
      </c>
      <c r="B68" s="4">
        <v>84</v>
      </c>
      <c r="C68" s="4">
        <v>85</v>
      </c>
      <c r="D68" s="4">
        <v>87</v>
      </c>
      <c r="E68" s="4">
        <v>86</v>
      </c>
      <c r="F68" s="4">
        <v>88</v>
      </c>
    </row>
    <row r="69" spans="1:6" x14ac:dyDescent="0.25">
      <c r="A69" s="4" t="s">
        <v>590</v>
      </c>
      <c r="B69" s="4">
        <v>136</v>
      </c>
      <c r="C69" s="4">
        <v>137</v>
      </c>
      <c r="D69" s="4">
        <v>139</v>
      </c>
      <c r="E69" s="4">
        <v>138</v>
      </c>
      <c r="F69" s="4">
        <v>140</v>
      </c>
    </row>
    <row r="70" spans="1:6" x14ac:dyDescent="0.25">
      <c r="A70" s="4" t="s">
        <v>575</v>
      </c>
      <c r="B70" s="4">
        <v>88</v>
      </c>
      <c r="C70" s="4">
        <v>90</v>
      </c>
      <c r="D70" s="4">
        <v>94</v>
      </c>
      <c r="E70" s="4">
        <v>92</v>
      </c>
      <c r="F70" s="4">
        <v>96</v>
      </c>
    </row>
    <row r="71" spans="1:6" x14ac:dyDescent="0.25">
      <c r="A71" s="4" t="s">
        <v>578</v>
      </c>
      <c r="B71" s="4" t="s">
        <v>525</v>
      </c>
      <c r="C71" s="4" t="s">
        <v>525</v>
      </c>
      <c r="D71" s="4" t="s">
        <v>525</v>
      </c>
      <c r="E71" s="4" t="s">
        <v>525</v>
      </c>
      <c r="F71" s="4" t="s">
        <v>525</v>
      </c>
    </row>
    <row r="72" spans="1:6" x14ac:dyDescent="0.25">
      <c r="A72" s="4" t="s">
        <v>556</v>
      </c>
      <c r="B72" s="4" t="s">
        <v>525</v>
      </c>
      <c r="C72" s="4">
        <v>263</v>
      </c>
      <c r="D72" s="4" t="s">
        <v>525</v>
      </c>
      <c r="E72" s="4">
        <v>264</v>
      </c>
      <c r="F72" s="4">
        <v>266</v>
      </c>
    </row>
    <row r="73" spans="1:6" x14ac:dyDescent="0.25">
      <c r="A73" s="4" t="s">
        <v>589</v>
      </c>
      <c r="B73" s="4">
        <v>230</v>
      </c>
      <c r="C73" s="4">
        <v>234</v>
      </c>
      <c r="D73" s="4">
        <v>242</v>
      </c>
      <c r="E73" s="4">
        <v>238</v>
      </c>
      <c r="F73" s="4">
        <v>246</v>
      </c>
    </row>
    <row r="74" spans="1:6" x14ac:dyDescent="0.25">
      <c r="A74" s="4" t="s">
        <v>588</v>
      </c>
      <c r="B74" s="4">
        <v>231</v>
      </c>
      <c r="C74" s="4">
        <v>235</v>
      </c>
      <c r="D74" s="4">
        <v>243</v>
      </c>
      <c r="E74" s="4">
        <v>239</v>
      </c>
      <c r="F74" s="4">
        <v>247</v>
      </c>
    </row>
    <row r="75" spans="1:6" x14ac:dyDescent="0.25">
      <c r="A75" s="4" t="s">
        <v>587</v>
      </c>
      <c r="B75" s="4" t="s">
        <v>525</v>
      </c>
      <c r="C75" s="4">
        <v>236</v>
      </c>
      <c r="D75" s="4">
        <v>244</v>
      </c>
      <c r="E75" s="4">
        <v>240</v>
      </c>
      <c r="F75" s="4" t="s">
        <v>525</v>
      </c>
    </row>
    <row r="76" spans="1:6" x14ac:dyDescent="0.25">
      <c r="A76" s="4" t="s">
        <v>586</v>
      </c>
      <c r="B76" s="4">
        <v>233</v>
      </c>
      <c r="C76" s="4">
        <v>237</v>
      </c>
      <c r="D76" s="4" t="s">
        <v>525</v>
      </c>
      <c r="E76" s="4">
        <v>241</v>
      </c>
      <c r="F76" s="4">
        <v>249</v>
      </c>
    </row>
    <row r="77" spans="1:6" x14ac:dyDescent="0.25">
      <c r="A77" s="4" t="s">
        <v>574</v>
      </c>
      <c r="B77" s="4">
        <v>266</v>
      </c>
      <c r="C77" s="4" t="s">
        <v>525</v>
      </c>
      <c r="D77" s="4" t="s">
        <v>525</v>
      </c>
      <c r="E77" s="4" t="s">
        <v>525</v>
      </c>
      <c r="F77" s="4" t="s">
        <v>525</v>
      </c>
    </row>
    <row r="78" spans="1:6" x14ac:dyDescent="0.25">
      <c r="A78" s="4" t="s">
        <v>573</v>
      </c>
      <c r="B78" s="4" t="s">
        <v>525</v>
      </c>
      <c r="C78" s="4" t="s">
        <v>525</v>
      </c>
      <c r="D78" s="4" t="s">
        <v>525</v>
      </c>
      <c r="E78" s="4" t="s">
        <v>525</v>
      </c>
      <c r="F78" s="4" t="s">
        <v>525</v>
      </c>
    </row>
    <row r="79" spans="1:6" x14ac:dyDescent="0.25">
      <c r="A79" s="4" t="s">
        <v>572</v>
      </c>
      <c r="B79" s="4" t="s">
        <v>525</v>
      </c>
      <c r="C79" s="4" t="s">
        <v>525</v>
      </c>
      <c r="D79" s="4" t="s">
        <v>525</v>
      </c>
      <c r="E79" s="4">
        <v>274</v>
      </c>
      <c r="F79" s="4" t="s">
        <v>525</v>
      </c>
    </row>
    <row r="81" spans="1:6" x14ac:dyDescent="0.25">
      <c r="A81" s="4" t="s">
        <v>524</v>
      </c>
      <c r="B81" s="4" t="s">
        <v>489</v>
      </c>
      <c r="C81" s="4" t="s">
        <v>489</v>
      </c>
      <c r="D81" s="4" t="s">
        <v>489</v>
      </c>
      <c r="E81" s="4" t="s">
        <v>489</v>
      </c>
      <c r="F81" s="4" t="s">
        <v>489</v>
      </c>
    </row>
    <row r="82" spans="1:6" x14ac:dyDescent="0.25">
      <c r="A82" s="4" t="s">
        <v>523</v>
      </c>
      <c r="B82" s="4" t="s">
        <v>489</v>
      </c>
      <c r="C82" s="4" t="s">
        <v>489</v>
      </c>
      <c r="D82" s="4" t="s">
        <v>489</v>
      </c>
      <c r="E82" s="4" t="s">
        <v>489</v>
      </c>
      <c r="F82" s="4" t="s">
        <v>489</v>
      </c>
    </row>
    <row r="83" spans="1:6" x14ac:dyDescent="0.25">
      <c r="A83" s="4" t="s">
        <v>522</v>
      </c>
      <c r="B83" s="4" t="s">
        <v>489</v>
      </c>
      <c r="C83" s="4" t="s">
        <v>489</v>
      </c>
      <c r="D83" s="4" t="s">
        <v>489</v>
      </c>
      <c r="E83" s="4" t="s">
        <v>489</v>
      </c>
      <c r="F83" s="4" t="s">
        <v>489</v>
      </c>
    </row>
    <row r="85" spans="1:6" x14ac:dyDescent="0.25">
      <c r="A85" s="4" t="s">
        <v>521</v>
      </c>
      <c r="B85" s="4" t="s">
        <v>351</v>
      </c>
      <c r="C85" s="4" t="s">
        <v>351</v>
      </c>
      <c r="D85" s="4" t="s">
        <v>489</v>
      </c>
      <c r="E85" s="4" t="s">
        <v>351</v>
      </c>
      <c r="F85" s="4" t="s">
        <v>351</v>
      </c>
    </row>
    <row r="86" spans="1:6" x14ac:dyDescent="0.25">
      <c r="A86" s="4" t="s">
        <v>520</v>
      </c>
      <c r="B86" s="4" t="s">
        <v>489</v>
      </c>
      <c r="C86" s="4" t="s">
        <v>489</v>
      </c>
      <c r="D86" s="4" t="s">
        <v>489</v>
      </c>
      <c r="E86" s="4" t="s">
        <v>489</v>
      </c>
      <c r="F86" s="4" t="s">
        <v>489</v>
      </c>
    </row>
    <row r="87" spans="1:6" x14ac:dyDescent="0.25">
      <c r="A87" s="4" t="s">
        <v>519</v>
      </c>
      <c r="B87" s="4" t="s">
        <v>489</v>
      </c>
      <c r="C87" s="4" t="s">
        <v>489</v>
      </c>
      <c r="D87" s="4" t="s">
        <v>489</v>
      </c>
      <c r="E87" s="4" t="s">
        <v>489</v>
      </c>
      <c r="F87" s="4" t="s">
        <v>489</v>
      </c>
    </row>
    <row r="88" spans="1:6" x14ac:dyDescent="0.25">
      <c r="A88" s="4" t="s">
        <v>518</v>
      </c>
      <c r="B88" s="4" t="s">
        <v>489</v>
      </c>
      <c r="C88" s="4" t="s">
        <v>489</v>
      </c>
      <c r="D88" s="4" t="s">
        <v>489</v>
      </c>
      <c r="E88" s="4" t="s">
        <v>489</v>
      </c>
      <c r="F88" s="4" t="s">
        <v>489</v>
      </c>
    </row>
    <row r="89" spans="1:6" x14ac:dyDescent="0.25">
      <c r="A89" s="4" t="s">
        <v>517</v>
      </c>
      <c r="B89" s="4" t="s">
        <v>489</v>
      </c>
      <c r="C89" s="4" t="s">
        <v>489</v>
      </c>
      <c r="D89" s="4" t="s">
        <v>489</v>
      </c>
      <c r="E89" s="4" t="s">
        <v>489</v>
      </c>
      <c r="F89" s="4" t="s">
        <v>489</v>
      </c>
    </row>
    <row r="90" spans="1:6" x14ac:dyDescent="0.25">
      <c r="A90" s="4" t="s">
        <v>516</v>
      </c>
      <c r="B90" s="4" t="s">
        <v>489</v>
      </c>
      <c r="C90" s="4" t="s">
        <v>489</v>
      </c>
      <c r="D90" s="4" t="s">
        <v>489</v>
      </c>
      <c r="E90" s="4" t="s">
        <v>489</v>
      </c>
      <c r="F90" s="4" t="s">
        <v>489</v>
      </c>
    </row>
    <row r="91" spans="1:6" x14ac:dyDescent="0.25">
      <c r="A91" s="4" t="s">
        <v>515</v>
      </c>
      <c r="B91" s="4" t="s">
        <v>489</v>
      </c>
      <c r="C91" s="4" t="s">
        <v>489</v>
      </c>
      <c r="D91" s="4" t="s">
        <v>489</v>
      </c>
      <c r="E91" s="4" t="s">
        <v>489</v>
      </c>
      <c r="F91" s="4" t="s">
        <v>489</v>
      </c>
    </row>
    <row r="92" spans="1:6" x14ac:dyDescent="0.25">
      <c r="A92" s="4" t="s">
        <v>514</v>
      </c>
      <c r="B92" s="4" t="s">
        <v>351</v>
      </c>
      <c r="C92" s="4" t="s">
        <v>351</v>
      </c>
      <c r="D92" s="4" t="s">
        <v>351</v>
      </c>
      <c r="E92" s="4" t="s">
        <v>489</v>
      </c>
      <c r="F92" s="4" t="s">
        <v>351</v>
      </c>
    </row>
    <row r="93" spans="1:6" x14ac:dyDescent="0.25">
      <c r="A93" s="4" t="s">
        <v>513</v>
      </c>
      <c r="B93" s="4" t="s">
        <v>489</v>
      </c>
      <c r="C93" s="4" t="s">
        <v>489</v>
      </c>
      <c r="D93" s="4" t="s">
        <v>489</v>
      </c>
      <c r="E93" s="4" t="s">
        <v>489</v>
      </c>
      <c r="F93" s="4" t="s">
        <v>489</v>
      </c>
    </row>
    <row r="94" spans="1:6" x14ac:dyDescent="0.25">
      <c r="A94" s="4" t="s">
        <v>512</v>
      </c>
      <c r="B94" s="4" t="s">
        <v>489</v>
      </c>
      <c r="C94" s="4" t="s">
        <v>489</v>
      </c>
      <c r="D94" s="4" t="s">
        <v>489</v>
      </c>
      <c r="E94" s="4" t="s">
        <v>489</v>
      </c>
      <c r="F94" s="4" t="s">
        <v>489</v>
      </c>
    </row>
    <row r="95" spans="1:6" x14ac:dyDescent="0.25">
      <c r="A95" s="4" t="s">
        <v>511</v>
      </c>
      <c r="B95" s="4" t="s">
        <v>489</v>
      </c>
      <c r="C95" s="4" t="s">
        <v>489</v>
      </c>
      <c r="D95" s="4" t="s">
        <v>489</v>
      </c>
      <c r="E95" s="4" t="s">
        <v>489</v>
      </c>
      <c r="F95" s="4" t="s">
        <v>489</v>
      </c>
    </row>
    <row r="96" spans="1:6" x14ac:dyDescent="0.25">
      <c r="A96" s="4" t="s">
        <v>510</v>
      </c>
      <c r="B96" s="4" t="s">
        <v>489</v>
      </c>
      <c r="C96" s="4" t="s">
        <v>489</v>
      </c>
      <c r="D96" s="4" t="s">
        <v>489</v>
      </c>
      <c r="E96" s="4" t="s">
        <v>489</v>
      </c>
      <c r="F96" s="4" t="s">
        <v>489</v>
      </c>
    </row>
    <row r="97" spans="1:6" x14ac:dyDescent="0.25">
      <c r="A97" s="4" t="s">
        <v>509</v>
      </c>
      <c r="B97" s="4" t="s">
        <v>489</v>
      </c>
      <c r="C97" s="4" t="s">
        <v>489</v>
      </c>
      <c r="D97" s="4" t="s">
        <v>351</v>
      </c>
      <c r="E97" s="4" t="s">
        <v>351</v>
      </c>
      <c r="F97" s="4" t="s">
        <v>351</v>
      </c>
    </row>
    <row r="98" spans="1:6" x14ac:dyDescent="0.25">
      <c r="A98" s="4" t="s">
        <v>508</v>
      </c>
      <c r="B98" s="4" t="s">
        <v>489</v>
      </c>
      <c r="C98" s="4" t="s">
        <v>489</v>
      </c>
      <c r="D98" s="4" t="s">
        <v>489</v>
      </c>
      <c r="E98" s="4" t="s">
        <v>489</v>
      </c>
      <c r="F98" s="4" t="s">
        <v>489</v>
      </c>
    </row>
    <row r="99" spans="1:6" x14ac:dyDescent="0.25">
      <c r="A99" s="4" t="s">
        <v>507</v>
      </c>
      <c r="B99" s="4" t="s">
        <v>489</v>
      </c>
      <c r="C99" s="4" t="s">
        <v>489</v>
      </c>
      <c r="D99" s="4" t="s">
        <v>489</v>
      </c>
      <c r="E99" s="4" t="s">
        <v>489</v>
      </c>
      <c r="F99" s="4" t="s">
        <v>489</v>
      </c>
    </row>
    <row r="100" spans="1:6" x14ac:dyDescent="0.25">
      <c r="A100" s="4" t="s">
        <v>506</v>
      </c>
      <c r="B100" s="4" t="s">
        <v>489</v>
      </c>
      <c r="C100" s="4" t="s">
        <v>489</v>
      </c>
      <c r="D100" s="4" t="s">
        <v>489</v>
      </c>
      <c r="E100" s="4" t="s">
        <v>489</v>
      </c>
      <c r="F100" s="4" t="s">
        <v>489</v>
      </c>
    </row>
    <row r="101" spans="1:6" x14ac:dyDescent="0.25">
      <c r="A101" s="4" t="s">
        <v>505</v>
      </c>
      <c r="B101" s="4" t="s">
        <v>489</v>
      </c>
      <c r="C101" s="4" t="s">
        <v>489</v>
      </c>
      <c r="D101" s="4" t="s">
        <v>489</v>
      </c>
      <c r="E101" s="4" t="s">
        <v>489</v>
      </c>
      <c r="F101" s="4" t="s">
        <v>489</v>
      </c>
    </row>
    <row r="102" spans="1:6" x14ac:dyDescent="0.25">
      <c r="A102" s="4" t="s">
        <v>504</v>
      </c>
      <c r="B102" s="4" t="s">
        <v>489</v>
      </c>
      <c r="C102" s="4" t="s">
        <v>489</v>
      </c>
      <c r="D102" s="4" t="s">
        <v>489</v>
      </c>
      <c r="E102" s="4" t="s">
        <v>489</v>
      </c>
      <c r="F102" s="4" t="s">
        <v>489</v>
      </c>
    </row>
    <row r="103" spans="1:6" x14ac:dyDescent="0.25">
      <c r="A103" s="4" t="s">
        <v>503</v>
      </c>
      <c r="B103" s="4" t="s">
        <v>489</v>
      </c>
      <c r="C103" s="4" t="s">
        <v>489</v>
      </c>
      <c r="D103" s="4" t="s">
        <v>489</v>
      </c>
      <c r="E103" s="4" t="s">
        <v>489</v>
      </c>
      <c r="F103" s="4" t="s">
        <v>489</v>
      </c>
    </row>
    <row r="104" spans="1:6" x14ac:dyDescent="0.25">
      <c r="A104" s="4" t="s">
        <v>502</v>
      </c>
      <c r="B104" s="4" t="s">
        <v>351</v>
      </c>
      <c r="C104" s="4" t="s">
        <v>351</v>
      </c>
      <c r="D104" s="4" t="s">
        <v>491</v>
      </c>
      <c r="E104" s="4" t="s">
        <v>491</v>
      </c>
      <c r="F104" s="4" t="s">
        <v>489</v>
      </c>
    </row>
    <row r="105" spans="1:6" x14ac:dyDescent="0.25">
      <c r="A105" s="4" t="s">
        <v>501</v>
      </c>
      <c r="B105" s="4" t="s">
        <v>351</v>
      </c>
      <c r="C105" s="4" t="s">
        <v>351</v>
      </c>
      <c r="D105" s="4" t="s">
        <v>351</v>
      </c>
      <c r="E105" s="4" t="s">
        <v>489</v>
      </c>
      <c r="F105" s="4" t="s">
        <v>351</v>
      </c>
    </row>
    <row r="106" spans="1:6" x14ac:dyDescent="0.25">
      <c r="A106" s="4" t="s">
        <v>500</v>
      </c>
      <c r="B106" s="4" t="s">
        <v>489</v>
      </c>
      <c r="C106" s="4" t="s">
        <v>489</v>
      </c>
      <c r="D106" s="4" t="s">
        <v>489</v>
      </c>
      <c r="E106" s="4" t="s">
        <v>489</v>
      </c>
      <c r="F106" s="4" t="s">
        <v>489</v>
      </c>
    </row>
    <row r="107" spans="1:6" x14ac:dyDescent="0.25">
      <c r="A107" s="4" t="s">
        <v>499</v>
      </c>
      <c r="B107" s="4" t="s">
        <v>489</v>
      </c>
      <c r="C107" s="4" t="s">
        <v>489</v>
      </c>
      <c r="D107" s="4" t="s">
        <v>489</v>
      </c>
      <c r="E107" s="4" t="s">
        <v>489</v>
      </c>
      <c r="F107" s="4" t="s">
        <v>489</v>
      </c>
    </row>
    <row r="108" spans="1:6" x14ac:dyDescent="0.25">
      <c r="A108" s="4" t="s">
        <v>498</v>
      </c>
      <c r="B108" s="4" t="s">
        <v>489</v>
      </c>
      <c r="C108" s="4" t="s">
        <v>489</v>
      </c>
      <c r="D108" s="4" t="s">
        <v>489</v>
      </c>
      <c r="E108" s="4" t="s">
        <v>489</v>
      </c>
      <c r="F108" s="4" t="s">
        <v>489</v>
      </c>
    </row>
    <row r="109" spans="1:6" x14ac:dyDescent="0.25">
      <c r="A109" s="4" t="s">
        <v>497</v>
      </c>
      <c r="B109" s="4" t="s">
        <v>489</v>
      </c>
      <c r="C109" s="4" t="s">
        <v>489</v>
      </c>
      <c r="D109" s="4" t="s">
        <v>489</v>
      </c>
      <c r="E109" s="4" t="s">
        <v>489</v>
      </c>
      <c r="F109" s="4" t="s">
        <v>489</v>
      </c>
    </row>
    <row r="110" spans="1:6" x14ac:dyDescent="0.25">
      <c r="A110" s="4" t="s">
        <v>496</v>
      </c>
      <c r="B110" s="4" t="s">
        <v>351</v>
      </c>
      <c r="C110" s="4" t="s">
        <v>489</v>
      </c>
      <c r="D110" s="4" t="s">
        <v>351</v>
      </c>
      <c r="E110" s="4" t="s">
        <v>351</v>
      </c>
      <c r="F110" s="4" t="s">
        <v>351</v>
      </c>
    </row>
    <row r="111" spans="1:6" x14ac:dyDescent="0.25">
      <c r="A111" s="4" t="s">
        <v>495</v>
      </c>
      <c r="B111" s="4" t="s">
        <v>351</v>
      </c>
      <c r="C111" s="4" t="s">
        <v>351</v>
      </c>
      <c r="D111" s="4" t="s">
        <v>351</v>
      </c>
      <c r="E111" s="4" t="s">
        <v>351</v>
      </c>
      <c r="F111" s="4" t="s">
        <v>489</v>
      </c>
    </row>
    <row r="112" spans="1:6" x14ac:dyDescent="0.25">
      <c r="A112" s="4" t="s">
        <v>494</v>
      </c>
      <c r="B112" s="4" t="s">
        <v>351</v>
      </c>
      <c r="C112" s="4" t="s">
        <v>351</v>
      </c>
      <c r="D112" s="4" t="s">
        <v>351</v>
      </c>
      <c r="E112" s="4" t="s">
        <v>351</v>
      </c>
      <c r="F112" s="4" t="s">
        <v>489</v>
      </c>
    </row>
    <row r="113" spans="1:6" x14ac:dyDescent="0.25">
      <c r="A113" s="4" t="s">
        <v>493</v>
      </c>
      <c r="B113" s="4" t="s">
        <v>351</v>
      </c>
      <c r="C113" s="4" t="s">
        <v>489</v>
      </c>
      <c r="D113" s="4" t="s">
        <v>351</v>
      </c>
      <c r="E113" s="4" t="s">
        <v>351</v>
      </c>
      <c r="F113" s="4" t="s">
        <v>351</v>
      </c>
    </row>
    <row r="114" spans="1:6" x14ac:dyDescent="0.25">
      <c r="A114" s="4" t="s">
        <v>492</v>
      </c>
      <c r="B114" s="4" t="s">
        <v>491</v>
      </c>
      <c r="C114" s="4" t="s">
        <v>351</v>
      </c>
      <c r="D114" s="4" t="s">
        <v>351</v>
      </c>
      <c r="E114" s="4" t="s">
        <v>489</v>
      </c>
      <c r="F114" s="4" t="s">
        <v>351</v>
      </c>
    </row>
    <row r="115" spans="1:6" x14ac:dyDescent="0.25">
      <c r="A115" s="4" t="s">
        <v>490</v>
      </c>
      <c r="B115" s="4" t="s">
        <v>489</v>
      </c>
      <c r="C115" s="4" t="s">
        <v>489</v>
      </c>
      <c r="D115" s="4" t="s">
        <v>489</v>
      </c>
      <c r="E115" s="4" t="s">
        <v>489</v>
      </c>
      <c r="F115" s="4" t="s">
        <v>489</v>
      </c>
    </row>
  </sheetData>
  <autoFilter ref="A1:F79" xr:uid="{425E3326-8349-4236-9AF7-A4CE1FF60A88}">
    <sortState xmlns:xlrd2="http://schemas.microsoft.com/office/spreadsheetml/2017/richdata2" ref="A2:F79">
      <sortCondition ref="A1:A79"/>
    </sortState>
  </autoFilter>
  <conditionalFormatting sqref="O1:R1 A1:M69 B70:F79 A81:M83 A85:M1048576">
    <cfRule type="cellIs" dxfId="6" priority="1" operator="equal">
      <formula>"F"</formula>
    </cfRule>
    <cfRule type="cellIs" dxfId="5" priority="2" operator="equal">
      <formula>"S"</formula>
    </cfRule>
    <cfRule type="cellIs" dxfId="4" priority="3" operator="equal">
      <formula>"N"</formula>
    </cfRule>
    <cfRule type="cellIs" dxfId="3" priority="4" operator="equal">
      <formula>"X"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716F6-50D2-4EF6-A047-811623AE42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Compras</vt:lpstr>
      <vt:lpstr>Missing</vt:lpstr>
      <vt:lpstr>Prices</vt:lpstr>
      <vt:lpstr>Substitutas</vt:lpstr>
      <vt:lpstr>Decks</vt:lpstr>
      <vt:lpstr>Watch</vt:lpstr>
      <vt:lpstr>Tokens</vt:lpstr>
      <vt:lpstr>Lands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2026-01-28T02:26:58Z</dcterms:created>
  <dcterms:modified xsi:type="dcterms:W3CDTF">2026-07-23T13:45:07Z</dcterms:modified>
</cp:coreProperties>
</file>